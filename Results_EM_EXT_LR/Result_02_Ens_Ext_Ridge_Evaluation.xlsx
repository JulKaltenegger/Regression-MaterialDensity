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180031\Python_ASHRAE_Impute_Regression\"/>
    </mc:Choice>
  </mc:AlternateContent>
  <xr:revisionPtr revIDLastSave="0" documentId="13_ncr:1_{52084CE1-4E71-4338-A21D-40E3BCC5447E}" xr6:coauthVersionLast="47" xr6:coauthVersionMax="47" xr10:uidLastSave="{00000000-0000-0000-0000-000000000000}"/>
  <bookViews>
    <workbookView xWindow="76680" yWindow="5130" windowWidth="29040" windowHeight="15720" xr2:uid="{9457AED4-3BCC-464F-8257-9458E2CF7049}"/>
  </bookViews>
  <sheets>
    <sheet name="Sheet1" sheetId="1" r:id="rId1"/>
  </sheets>
  <definedNames>
    <definedName name="_xlnm._FilterDatabase" localSheetId="0" hidden="1">Sheet1!$A$1:$I$1</definedName>
    <definedName name="_xlchart.v1.0" hidden="1">Sheet1!$E$49:$E$52</definedName>
    <definedName name="_xlchart.v1.1" hidden="1">Sheet1!$D$49:$D$52</definedName>
    <definedName name="_xlchart.v1.10" hidden="1">Sheet1!$F$51:$I$51</definedName>
    <definedName name="_xlchart.v1.11" hidden="1">Sheet1!$F$52:$I$52</definedName>
    <definedName name="_xlchart.v1.12" hidden="1">Sheet1!$E$49:$I$49</definedName>
    <definedName name="_xlchart.v1.13" hidden="1">Sheet1!$E$50:$I$50</definedName>
    <definedName name="_xlchart.v1.14" hidden="1">Sheet1!$E$51:$I$51</definedName>
    <definedName name="_xlchart.v1.15" hidden="1">Sheet1!$E$52:$I$52</definedName>
    <definedName name="_xlchart.v1.2" hidden="1">Sheet1!$E$49:$E$52</definedName>
    <definedName name="_xlchart.v1.3" hidden="1">Sheet1!$C$49</definedName>
    <definedName name="_xlchart.v1.4" hidden="1">Sheet1!$C$50</definedName>
    <definedName name="_xlchart.v1.5" hidden="1">Sheet1!$C$51</definedName>
    <definedName name="_xlchart.v1.6" hidden="1">Sheet1!$C$52</definedName>
    <definedName name="_xlchart.v1.7" hidden="1">Sheet1!$F$1:$I$1</definedName>
    <definedName name="_xlchart.v1.8" hidden="1">Sheet1!$F$49:$I$49</definedName>
    <definedName name="_xlchart.v1.9" hidden="1">Sheet1!$F$50:$I$50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4" i="1" l="1" a="1"/>
  <c r="AC3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<sst xmlns="http://schemas.openxmlformats.org/spreadsheetml/2006/main" count="146" uniqueCount="85">
  <si>
    <t>y_pred_esm</t>
  </si>
  <si>
    <t>y_pred_ext</t>
  </si>
  <si>
    <t>y_pred_ridge</t>
  </si>
  <si>
    <t>materialType</t>
  </si>
  <si>
    <t>materialConductivity</t>
  </si>
  <si>
    <t>materialHeatCapacity</t>
  </si>
  <si>
    <t>Masonry Materials: Masonry units</t>
  </si>
  <si>
    <t>Clay tile, hollow 1 cell deep 4 in</t>
  </si>
  <si>
    <t>Building Board and Siding: Board</t>
  </si>
  <si>
    <t>Waferboard</t>
  </si>
  <si>
    <t>Masonry Materials: Concrete blocks h</t>
  </si>
  <si>
    <t xml:space="preserve">Normal-weight aggregate (sand and gravel) 8 in 33 to 36 lb, 126 to 136 lb/ft3 concrete, with perlite-filled cores </t>
  </si>
  <si>
    <t>Building Board and Siding: Siding</t>
  </si>
  <si>
    <t>Aluminum, steel, or vinyl k over sheathing insulated vinyl siding 3/4 - 1 1/4 in m</t>
  </si>
  <si>
    <t>Brick, fired clay</t>
  </si>
  <si>
    <t>Gypsum partition tile 3 by 12 by 30 in solid 4 cells</t>
  </si>
  <si>
    <t>Metal roofing (See Chapter 33, Table 3)</t>
  </si>
  <si>
    <t>Asphalt shingles</t>
  </si>
  <si>
    <t>Masonry Materials: Concretes</t>
  </si>
  <si>
    <t>Polymer concrete</t>
  </si>
  <si>
    <t>Oriented strand board (OSB) 7/16 in</t>
  </si>
  <si>
    <t>Plastering Materials</t>
  </si>
  <si>
    <t>Sand aggregate</t>
  </si>
  <si>
    <t>Slag concrete</t>
  </si>
  <si>
    <t>Finish Flooring</t>
  </si>
  <si>
    <t>Linoleum/cork tile 1/4 in</t>
  </si>
  <si>
    <t>Lightweight aggregate (expanded shale, clay, slate or slag, pumice) 12 in 32 to 36 lb, 80 to 90 lb/ft3, concrete, with vermiculite-filled cores</t>
  </si>
  <si>
    <t>Vegetable fiber board sheathing, tile and lay-in panels, plain or acoustic</t>
  </si>
  <si>
    <t>Lightweight aggregate or limestone concretes expanded shale, clay, or slate; expanded slags; cinders; pumice (with density up to 100 lb/ft3); scoria (sanded concretes have conductivities in higher end of range)</t>
  </si>
  <si>
    <t xml:space="preserve">Normal-weight aggregate (sand and gravel) 8 in 33 to 36 lb, 126 to 136 lb/ft3 concrete, with vermiculite-filled cores </t>
  </si>
  <si>
    <t>Clay tile, hollow 1 cell deep 3 in</t>
  </si>
  <si>
    <t>Aluminum, steel, or vinyl over sheathing k</t>
  </si>
  <si>
    <t>Lightweight aggregate (expanded shale, clay, slate or slag, pumice) 12 in 32 to 36 lb, 80 to 90 lb/ft3, concrete, with perlite-filled cores</t>
  </si>
  <si>
    <t>Insulating material: Loose fill</t>
  </si>
  <si>
    <t>Rock and slag wool d attics, ~3.5 - 4.5 in</t>
  </si>
  <si>
    <t>Woods (12% moisture content) l: Softwoods</t>
  </si>
  <si>
    <t>Softwoods</t>
  </si>
  <si>
    <t>Vermiculite aggregate.</t>
  </si>
  <si>
    <t>PVC/rubber floor covering</t>
  </si>
  <si>
    <t>Woods (12% moisture content) l: Hardwoods</t>
  </si>
  <si>
    <t>Spruce (oven-dried)</t>
  </si>
  <si>
    <t>Insulating material: Blanket and batt c, d</t>
  </si>
  <si>
    <t>Mineral wool, felted</t>
  </si>
  <si>
    <t>Insulating material: Spray applied</t>
  </si>
  <si>
    <t>Polyurethane foam medium density, closed cell, aged 180 days 1.9 - 3.2</t>
  </si>
  <si>
    <t>Foam concretes</t>
  </si>
  <si>
    <t>Cellulose fiber, attic application &gt;4 in</t>
  </si>
  <si>
    <t>Calcitic, dolomitic, limestone, marble, and granite</t>
  </si>
  <si>
    <t>Cement plaster, sand aggregate</t>
  </si>
  <si>
    <t>PVC/rubber floor covering rubber tile 1.0 in</t>
  </si>
  <si>
    <t xml:space="preserve">Limestone aggregate 12 in 55 lb, 138 lb/ft3 concrete, with perlite-filled cores </t>
  </si>
  <si>
    <t>Sand/cement plaster, conditioned</t>
  </si>
  <si>
    <t>Lightweight aggregate (expanded shale, clay, slate or slag, pumice) 12 in 32 to 36 lb, 80 to 90 lb/ft3, concrete, 2 or 3 cores</t>
  </si>
  <si>
    <t>Rock and slag wool batts</t>
  </si>
  <si>
    <t>Insulating material: Board and slabs</t>
  </si>
  <si>
    <t>Expanded polystyrene, molded beads</t>
  </si>
  <si>
    <t>Quartzitic and sandstone</t>
  </si>
  <si>
    <t>Wood shingles, plain and plastic-film-faced</t>
  </si>
  <si>
    <t>Cement fiber slabs, shredded wood with portland cement with magnesia oxysulfide binder</t>
  </si>
  <si>
    <t>Lightweight aggregate (expanded shale, clay, slate or slag, pumice) 8 in 19 to 22 lb, 72 to 86 lb/ft3 concretewith molded EPS inserts in cores</t>
  </si>
  <si>
    <t>Lightweight aggregate (expanded shale, clay, slate or slag, pumice) 6 in 16 to 17 lb, 85 to 87 lb/ft3 concrete, with perlite-filled cores</t>
  </si>
  <si>
    <t>Asphalt insulating siding (1/2 in. bed)</t>
  </si>
  <si>
    <t>Gypsum plaster</t>
  </si>
  <si>
    <t>Glass fiber d closed attic or wall cavities</t>
  </si>
  <si>
    <t>Oriented strand board (OSB) 1/2 in</t>
  </si>
  <si>
    <t>Lightweight aggregate (expanded shale, clay, slate or slag, pumice) 8 in 19 to 22 lb, 72 to 86 lb/ft3 concrete with perlite-filled cores</t>
  </si>
  <si>
    <t>Vegetable fiber board sheathing, shingle backer 3/8 in</t>
  </si>
  <si>
    <t>Clay tile, hollow 3 cells deep 12 in</t>
  </si>
  <si>
    <t>Clay tile, hollow 2 cells deep 6 in</t>
  </si>
  <si>
    <t>Hardboard medium density.</t>
  </si>
  <si>
    <t>Fiber/cement board</t>
  </si>
  <si>
    <t>Cement/lime, mortar, and stucco</t>
  </si>
  <si>
    <t>Polymer cement</t>
  </si>
  <si>
    <t>Extruded polystyrene, smooth skin aged 180 days</t>
  </si>
  <si>
    <t>Expanded rubber (rigid)</t>
  </si>
  <si>
    <t>Vegetable fiber board sheathing, laminated paperboard</t>
  </si>
  <si>
    <t>Asphalt roll siding</t>
  </si>
  <si>
    <t>Product</t>
  </si>
  <si>
    <t>Y_test_observed</t>
  </si>
  <si>
    <t>thermal conductivity</t>
  </si>
  <si>
    <t>Mean kg/m3</t>
  </si>
  <si>
    <t>Mean W/m⋅K</t>
  </si>
  <si>
    <t>Mean ⁠J/kg⋅K</t>
  </si>
  <si>
    <t>specific heat capacity</t>
  </si>
  <si>
    <t>density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</si>
</sst>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density observed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Sheet1!$F$2:$F$37</c:f>
              <c:numCache>
                <c:formatCode>General</c:formatCode>
                <c:ptCount val="36"/>
                <c:pt idx="0">
                  <c:v>977.12626739999996</c:v>
                </c:pt>
                <c:pt idx="1">
                  <c:v>800.92317000000003</c:v>
                </c:pt>
                <c:pt idx="2">
                  <c:v>656.75699940000004</c:v>
                </c:pt>
                <c:pt idx="3">
                  <c:v>656.75699940000004</c:v>
                </c:pt>
                <c:pt idx="4">
                  <c:v>480.55390200000011</c:v>
                </c:pt>
                <c:pt idx="5">
                  <c:v>288.33234119999997</c:v>
                </c:pt>
                <c:pt idx="6">
                  <c:v>288.33234119999997</c:v>
                </c:pt>
                <c:pt idx="7">
                  <c:v>592.68314580000003</c:v>
                </c:pt>
                <c:pt idx="8">
                  <c:v>424.4892801000002</c:v>
                </c:pt>
                <c:pt idx="9">
                  <c:v>424.4892801000002</c:v>
                </c:pt>
                <c:pt idx="10">
                  <c:v>1922.2156079999991</c:v>
                </c:pt>
                <c:pt idx="11">
                  <c:v>1121.2924380000011</c:v>
                </c:pt>
                <c:pt idx="12">
                  <c:v>464.53543860000002</c:v>
                </c:pt>
                <c:pt idx="13">
                  <c:v>1124.4961306800001</c:v>
                </c:pt>
                <c:pt idx="14">
                  <c:v>1906.1971446</c:v>
                </c:pt>
                <c:pt idx="15">
                  <c:v>32.036926800000003</c:v>
                </c:pt>
                <c:pt idx="16">
                  <c:v>616.71084089999943</c:v>
                </c:pt>
                <c:pt idx="17">
                  <c:v>44.851697520000002</c:v>
                </c:pt>
                <c:pt idx="18">
                  <c:v>352.40619479999998</c:v>
                </c:pt>
                <c:pt idx="19">
                  <c:v>1121.2924380000011</c:v>
                </c:pt>
                <c:pt idx="20">
                  <c:v>64.073853600000007</c:v>
                </c:pt>
                <c:pt idx="21">
                  <c:v>40.046158499999997</c:v>
                </c:pt>
                <c:pt idx="22">
                  <c:v>22.425848760000001</c:v>
                </c:pt>
                <c:pt idx="23">
                  <c:v>32.837849970000001</c:v>
                </c:pt>
                <c:pt idx="24">
                  <c:v>24.82861827</c:v>
                </c:pt>
                <c:pt idx="25">
                  <c:v>32.998034604000011</c:v>
                </c:pt>
                <c:pt idx="26">
                  <c:v>2242.5848759999999</c:v>
                </c:pt>
                <c:pt idx="27">
                  <c:v>1601.8463400000001</c:v>
                </c:pt>
                <c:pt idx="28">
                  <c:v>424.4892801000002</c:v>
                </c:pt>
                <c:pt idx="29">
                  <c:v>424.4892801000002</c:v>
                </c:pt>
                <c:pt idx="30">
                  <c:v>424.4892801000002</c:v>
                </c:pt>
                <c:pt idx="31">
                  <c:v>424.4892801000002</c:v>
                </c:pt>
                <c:pt idx="32">
                  <c:v>424.4892801000002</c:v>
                </c:pt>
                <c:pt idx="33">
                  <c:v>424.4892801000002</c:v>
                </c:pt>
                <c:pt idx="34">
                  <c:v>424.4892801000002</c:v>
                </c:pt>
                <c:pt idx="35">
                  <c:v>424.4892801000002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83-40E8-B0DF-3939A457174B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y_pred_esm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Sheet1!$G$2:$G$37</c:f>
              <c:numCache>
                <c:formatCode>General</c:formatCode>
                <c:ptCount val="36"/>
                <c:pt idx="0">
                  <c:v>977.29248046875</c:v>
                </c:pt>
                <c:pt idx="1">
                  <c:v>615.1268310546875</c:v>
                </c:pt>
                <c:pt idx="2">
                  <c:v>575.510498046875</c:v>
                </c:pt>
                <c:pt idx="3">
                  <c:v>570.22308349609375</c:v>
                </c:pt>
                <c:pt idx="4">
                  <c:v>431.161376953125</c:v>
                </c:pt>
                <c:pt idx="5">
                  <c:v>350.12057495117188</c:v>
                </c:pt>
                <c:pt idx="6">
                  <c:v>402.96749877929688</c:v>
                </c:pt>
                <c:pt idx="7">
                  <c:v>430.4854736328125</c:v>
                </c:pt>
                <c:pt idx="8">
                  <c:v>476.89553833007813</c:v>
                </c:pt>
                <c:pt idx="9">
                  <c:v>492.50381469726563</c:v>
                </c:pt>
                <c:pt idx="10">
                  <c:v>1780.257568359375</c:v>
                </c:pt>
                <c:pt idx="11">
                  <c:v>1123.552490234375</c:v>
                </c:pt>
                <c:pt idx="12">
                  <c:v>484.83294677734381</c:v>
                </c:pt>
                <c:pt idx="13">
                  <c:v>1174.126586914062</c:v>
                </c:pt>
                <c:pt idx="14">
                  <c:v>1621.7451171875</c:v>
                </c:pt>
                <c:pt idx="15">
                  <c:v>57.575634002685547</c:v>
                </c:pt>
                <c:pt idx="16">
                  <c:v>603.51824951171875</c:v>
                </c:pt>
                <c:pt idx="17">
                  <c:v>73.085845947265625</c:v>
                </c:pt>
                <c:pt idx="18">
                  <c:v>329.90591430664063</c:v>
                </c:pt>
                <c:pt idx="19">
                  <c:v>1049.462768554688</c:v>
                </c:pt>
                <c:pt idx="20">
                  <c:v>68.002571105957031</c:v>
                </c:pt>
                <c:pt idx="21">
                  <c:v>61.303291320800781</c:v>
                </c:pt>
                <c:pt idx="22">
                  <c:v>40.927658081054688</c:v>
                </c:pt>
                <c:pt idx="23">
                  <c:v>67.867279052734375</c:v>
                </c:pt>
                <c:pt idx="24">
                  <c:v>64.897972106933594</c:v>
                </c:pt>
                <c:pt idx="25">
                  <c:v>72.983772277832031</c:v>
                </c:pt>
                <c:pt idx="26">
                  <c:v>2377.43701171875</c:v>
                </c:pt>
                <c:pt idx="27">
                  <c:v>2102.486328125</c:v>
                </c:pt>
                <c:pt idx="28">
                  <c:v>424.24765014648438</c:v>
                </c:pt>
                <c:pt idx="29">
                  <c:v>423.1387939453125</c:v>
                </c:pt>
                <c:pt idx="30">
                  <c:v>426.8824462890625</c:v>
                </c:pt>
                <c:pt idx="31">
                  <c:v>428.52716064453119</c:v>
                </c:pt>
                <c:pt idx="32">
                  <c:v>429.25982666015619</c:v>
                </c:pt>
                <c:pt idx="33">
                  <c:v>423.56512451171881</c:v>
                </c:pt>
                <c:pt idx="34">
                  <c:v>423.90579223632813</c:v>
                </c:pt>
                <c:pt idx="35">
                  <c:v>430.93719482421881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83-40E8-B0DF-3939A457174B}"/>
            </c:ext>
          </c:extLst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y_pred_ext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Sheet1!$H$2:$H$37</c:f>
              <c:numCache>
                <c:formatCode>General</c:formatCode>
                <c:ptCount val="36"/>
                <c:pt idx="0">
                  <c:v>874.44863606911076</c:v>
                </c:pt>
                <c:pt idx="1">
                  <c:v>514.51122848602847</c:v>
                </c:pt>
                <c:pt idx="2">
                  <c:v>537.3404376697174</c:v>
                </c:pt>
                <c:pt idx="3">
                  <c:v>537.3404376697174</c:v>
                </c:pt>
                <c:pt idx="4">
                  <c:v>364.6889440408346</c:v>
                </c:pt>
                <c:pt idx="5">
                  <c:v>364.6889440408346</c:v>
                </c:pt>
                <c:pt idx="6">
                  <c:v>303.29819634753909</c:v>
                </c:pt>
                <c:pt idx="7">
                  <c:v>405.08086693373713</c:v>
                </c:pt>
                <c:pt idx="8">
                  <c:v>449.31837079994278</c:v>
                </c:pt>
                <c:pt idx="9">
                  <c:v>449.31837079994278</c:v>
                </c:pt>
                <c:pt idx="10">
                  <c:v>1861.705171733603</c:v>
                </c:pt>
                <c:pt idx="11">
                  <c:v>1052.805950081935</c:v>
                </c:pt>
                <c:pt idx="12">
                  <c:v>449.31837079994278</c:v>
                </c:pt>
                <c:pt idx="13">
                  <c:v>1596.335401833499</c:v>
                </c:pt>
                <c:pt idx="14">
                  <c:v>1861.705171733603</c:v>
                </c:pt>
                <c:pt idx="15">
                  <c:v>86.233978473419853</c:v>
                </c:pt>
                <c:pt idx="16">
                  <c:v>760.47989804342683</c:v>
                </c:pt>
                <c:pt idx="17">
                  <c:v>73.85469872541546</c:v>
                </c:pt>
                <c:pt idx="18">
                  <c:v>338.0390264822546</c:v>
                </c:pt>
                <c:pt idx="19">
                  <c:v>1052.805950081935</c:v>
                </c:pt>
                <c:pt idx="20">
                  <c:v>49.676201234264013</c:v>
                </c:pt>
                <c:pt idx="21">
                  <c:v>49.676201234264013</c:v>
                </c:pt>
                <c:pt idx="22">
                  <c:v>70.505627243886508</c:v>
                </c:pt>
                <c:pt idx="23">
                  <c:v>67.82819682848212</c:v>
                </c:pt>
                <c:pt idx="24">
                  <c:v>64.081252604522874</c:v>
                </c:pt>
                <c:pt idx="25">
                  <c:v>73.85469872541546</c:v>
                </c:pt>
                <c:pt idx="26">
                  <c:v>2174.587261650971</c:v>
                </c:pt>
                <c:pt idx="27">
                  <c:v>2005.210494038356</c:v>
                </c:pt>
                <c:pt idx="28">
                  <c:v>449.31837079994278</c:v>
                </c:pt>
                <c:pt idx="29">
                  <c:v>449.31837079994278</c:v>
                </c:pt>
                <c:pt idx="30">
                  <c:v>449.31837079994278</c:v>
                </c:pt>
                <c:pt idx="31">
                  <c:v>449.31837079994278</c:v>
                </c:pt>
                <c:pt idx="32">
                  <c:v>449.31837079994278</c:v>
                </c:pt>
                <c:pt idx="33">
                  <c:v>449.31837079994278</c:v>
                </c:pt>
                <c:pt idx="34">
                  <c:v>449.31837079994278</c:v>
                </c:pt>
                <c:pt idx="35">
                  <c:v>449.31837079994278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83-40E8-B0DF-3939A457174B}"/>
            </c:ext>
          </c:extLst>
        </c:ser>
        <c:ser>
          <c:idx val="3"/>
          <c:order val="3"/>
          <c:tx>
            <c:strRef>
              <c:f>Sheet1!$I$1</c:f>
              <c:strCache>
                <c:ptCount val="1"/>
                <c:pt idx="0">
                  <c:v>y_pred_ridge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Sheet1!$I$2:$I$37</c:f>
              <c:numCache>
                <c:formatCode>General</c:formatCode>
                <c:ptCount val="36"/>
                <c:pt idx="0">
                  <c:v>1070.9207969407571</c:v>
                </c:pt>
                <c:pt idx="1">
                  <c:v>680.1634912050647</c:v>
                </c:pt>
                <c:pt idx="2">
                  <c:v>398.72842354653591</c:v>
                </c:pt>
                <c:pt idx="3">
                  <c:v>398.72842354653591</c:v>
                </c:pt>
                <c:pt idx="4">
                  <c:v>617.00927298975091</c:v>
                </c:pt>
                <c:pt idx="5">
                  <c:v>682.49687080516208</c:v>
                </c:pt>
                <c:pt idx="6">
                  <c:v>1008.611633454086</c:v>
                </c:pt>
                <c:pt idx="7">
                  <c:v>375.77660964864748</c:v>
                </c:pt>
                <c:pt idx="8">
                  <c:v>583.37658130120496</c:v>
                </c:pt>
                <c:pt idx="9">
                  <c:v>583.37658130120496</c:v>
                </c:pt>
                <c:pt idx="10">
                  <c:v>1297.0554764321439</c:v>
                </c:pt>
                <c:pt idx="11">
                  <c:v>857.49879705227011</c:v>
                </c:pt>
                <c:pt idx="12">
                  <c:v>223.10365379722421</c:v>
                </c:pt>
                <c:pt idx="13">
                  <c:v>798.06214129560919</c:v>
                </c:pt>
                <c:pt idx="14">
                  <c:v>923.93741540564179</c:v>
                </c:pt>
                <c:pt idx="15">
                  <c:v>248.0098287323674</c:v>
                </c:pt>
                <c:pt idx="16">
                  <c:v>425.33059302909811</c:v>
                </c:pt>
                <c:pt idx="17">
                  <c:v>71.915891293851246</c:v>
                </c:pt>
                <c:pt idx="18">
                  <c:v>270.13976402340211</c:v>
                </c:pt>
                <c:pt idx="19">
                  <c:v>146.53962572496971</c:v>
                </c:pt>
                <c:pt idx="20">
                  <c:v>46.585258582482311</c:v>
                </c:pt>
                <c:pt idx="21">
                  <c:v>93.828164707526639</c:v>
                </c:pt>
                <c:pt idx="22">
                  <c:v>194.82446416987801</c:v>
                </c:pt>
                <c:pt idx="23">
                  <c:v>116.5845612197063</c:v>
                </c:pt>
                <c:pt idx="24">
                  <c:v>257.27439373387551</c:v>
                </c:pt>
                <c:pt idx="25">
                  <c:v>155.65586575050591</c:v>
                </c:pt>
                <c:pt idx="26">
                  <c:v>2048.4789824867512</c:v>
                </c:pt>
                <c:pt idx="27">
                  <c:v>1357.9990992152109</c:v>
                </c:pt>
                <c:pt idx="28">
                  <c:v>394.79618248208982</c:v>
                </c:pt>
                <c:pt idx="29">
                  <c:v>394.79618248208982</c:v>
                </c:pt>
                <c:pt idx="30">
                  <c:v>394.79618248208982</c:v>
                </c:pt>
                <c:pt idx="31">
                  <c:v>394.79618248208982</c:v>
                </c:pt>
                <c:pt idx="32">
                  <c:v>394.79618248208982</c:v>
                </c:pt>
                <c:pt idx="33">
                  <c:v>394.79618248208982</c:v>
                </c:pt>
                <c:pt idx="34">
                  <c:v>394.79618248208982</c:v>
                </c:pt>
                <c:pt idx="35">
                  <c:v>394.79618248208982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83-40E8-B0DF-3939A4571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073359"/>
        <c:axId val="243070959"/>
      </c:lineChart>
      <c:catAx>
        <c:axId val="243073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3070959"/>
        <c:crosses val="autoZero"/>
        <c:auto val="1"/>
        <c:lblAlgn val="ctr"/>
        <c:lblOffset val="100"/>
        <c:noMultiLvlLbl val="0"/>
      </c:catAx>
      <c:valAx>
        <c:axId val="24307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307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_xlchart.v1.7</cx:f>
      </cx:strDim>
      <cx:numDim type="val">
        <cx:f dir="row">_xlchart.v1.8</cx:f>
      </cx:numDim>
    </cx:data>
    <cx:data id="1">
      <cx:strDim type="cat">
        <cx:f dir="row">_xlchart.v1.7</cx:f>
      </cx:strDim>
      <cx:numDim type="val">
        <cx:f dir="row">_xlchart.v1.9</cx:f>
      </cx:numDim>
    </cx:data>
    <cx:data id="2">
      <cx:strDim type="cat">
        <cx:f dir="row">_xlchart.v1.7</cx:f>
      </cx:strDim>
      <cx:numDim type="val">
        <cx:f dir="row">_xlchart.v1.10</cx:f>
      </cx:numDim>
    </cx:data>
    <cx:data id="3">
      <cx:strDim type="cat">
        <cx:f dir="row">_xlchart.v1.7</cx:f>
      </cx:strDim>
      <cx:numDim type="val">
        <cx:f dir="row"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Brick, fired clay 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- density prediction benchmark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1ADA0EFF-249D-4795-AA68-12CB439F68D9}">
          <cx:tx>
            <cx:txData>
              <cx:f>_xlchart.v1.3</cx:f>
              <cx:v>Brick, fired clay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5E102AC-CC4E-4B5D-B3EA-AF64D8A46686}">
          <cx:tx>
            <cx:txData>
              <cx:f>_xlchart.v1.4</cx:f>
              <cx:v>Brick, fired clay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B944E54-0C56-4A5E-98BC-0A36DC92A9E3}">
          <cx:tx>
            <cx:txData>
              <cx:f>_xlchart.v1.5</cx:f>
              <cx:v>Brick, fired clay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F805BBBC-3AFA-400D-A620-1932D1DEFE81}">
          <cx:tx>
            <cx:txData>
              <cx:f>_xlchart.v1.6</cx:f>
              <cx:v>Brick, fired clay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_xlchart.v1.12</cx:f>
      </cx:numDim>
    </cx:data>
    <cx:data id="1">
      <cx:numDim type="val">
        <cx:f dir="row">_xlchart.v1.13</cx:f>
      </cx:numDim>
    </cx:data>
    <cx:data id="2">
      <cx:numDim type="val">
        <cx:f dir="row">_xlchart.v1.14</cx:f>
      </cx:numDim>
    </cx:data>
    <cx:data id="3">
      <cx:numDim type="val">
        <cx:f dir="row">_xlchart.v1.15</cx:f>
      </cx:numDim>
    </cx:data>
  </cx:chartData>
  <cx:chart>
    <cx:title pos="t" align="ctr" overlay="0">
      <cx:tx>
        <cx:txData>
          <cx:v>Brick, fired clay - density prediction benchmark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Brick, fired clay - density prediction benchmark</a:t>
          </a:r>
        </a:p>
      </cx:txPr>
    </cx:title>
    <cx:plotArea>
      <cx:plotAreaRegion>
        <cx:series layoutId="boxWhisker" uniqueId="{3BA371D7-D05F-40FD-933C-82B22782155C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AADF466-BD6E-4963-9A89-110EF6B23EE1}"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EB55D6B2-D851-4640-9BB8-6C9DA834A15F}"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2F451B83-767F-4788-9972-B59C4D9E8D0A}"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Brick, fired clay - thermal conductivity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Brick, fired clay - thermal conductivity</a:t>
          </a:r>
        </a:p>
      </cx:txPr>
    </cx:title>
    <cx:plotArea>
      <cx:plotAreaRegion>
        <cx:series layoutId="boxWhisker" uniqueId="{AB2D323B-9429-4FC4-9A2E-F31B50A13AF9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400" b="0" i="0" baseline="0">
                <a:effectLst/>
              </a:rPr>
              <a:t>Brick, fired clay - specific heat capacity</a:t>
            </a:r>
            <a:endParaRPr lang="en-NL" sz="1400">
              <a:effectLst/>
            </a:endParaRPr>
          </a:p>
        </cx:rich>
      </cx:tx>
    </cx:title>
    <cx:plotArea>
      <cx:plotAreaRegion>
        <cx:series layoutId="boxWhisker" uniqueId="{20DF04C4-2B72-4A64-8D1D-675ABED05964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5" Type="http://schemas.microsoft.com/office/2014/relationships/chartEx" Target="../charts/chartEx4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243907</xdr:colOff>
      <xdr:row>4</xdr:row>
      <xdr:rowOff>166687</xdr:rowOff>
    </xdr:from>
    <xdr:to>
      <xdr:col>24</xdr:col>
      <xdr:colOff>306841</xdr:colOff>
      <xdr:row>30</xdr:row>
      <xdr:rowOff>30616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3F9F95-B8FB-7556-B7A7-039689143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72798</xdr:colOff>
      <xdr:row>32</xdr:row>
      <xdr:rowOff>3401</xdr:rowOff>
    </xdr:from>
    <xdr:to>
      <xdr:col>15</xdr:col>
      <xdr:colOff>195262</xdr:colOff>
      <xdr:row>44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34480BC4-37CB-1B32-C5C6-656159FEF6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22941" y="5663972"/>
              <a:ext cx="3388178" cy="21193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392564</xdr:colOff>
      <xdr:row>32</xdr:row>
      <xdr:rowOff>13608</xdr:rowOff>
    </xdr:from>
    <xdr:to>
      <xdr:col>20</xdr:col>
      <xdr:colOff>598716</xdr:colOff>
      <xdr:row>43</xdr:row>
      <xdr:rowOff>163285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310B3F70-C120-F584-05D4-799E4AD586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08421" y="5674179"/>
              <a:ext cx="3471866" cy="2095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202065</xdr:colOff>
      <xdr:row>32</xdr:row>
      <xdr:rowOff>39460</xdr:rowOff>
    </xdr:from>
    <xdr:to>
      <xdr:col>25</xdr:col>
      <xdr:colOff>449035</xdr:colOff>
      <xdr:row>43</xdr:row>
      <xdr:rowOff>122464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A291E3CD-6CB6-9A9A-E39F-1ADF0CC779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36779" y="5700031"/>
              <a:ext cx="2859542" cy="20288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216832</xdr:colOff>
      <xdr:row>45</xdr:row>
      <xdr:rowOff>37816</xdr:rowOff>
    </xdr:from>
    <xdr:to>
      <xdr:col>25</xdr:col>
      <xdr:colOff>414618</xdr:colOff>
      <xdr:row>53</xdr:row>
      <xdr:rowOff>145676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3102EFF7-3611-B016-DA40-3153DAF0E2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68303" y="8106051"/>
              <a:ext cx="2797550" cy="15422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93AC4-175C-4099-8461-FC29B88456F0}">
  <dimension ref="A1:AC65"/>
  <sheetViews>
    <sheetView tabSelected="1" zoomScale="85" zoomScaleNormal="85" workbookViewId="0">
      <selection activeCell="F22" sqref="F22"/>
    </sheetView>
  </sheetViews>
  <sheetFormatPr defaultRowHeight="14.25" x14ac:dyDescent="0.45"/>
  <cols>
    <col min="2" max="2" width="49.73046875" customWidth="1"/>
    <col min="3" max="6" width="18.3984375" customWidth="1"/>
    <col min="7" max="9" width="21.3984375" customWidth="1"/>
    <col min="27" max="27" width="18.3984375" customWidth="1"/>
    <col min="28" max="29" width="12.796875" customWidth="1"/>
  </cols>
  <sheetData>
    <row r="1" spans="1:9" x14ac:dyDescent="0.45">
      <c r="B1" s="1" t="s">
        <v>77</v>
      </c>
      <c r="C1" s="1" t="s">
        <v>3</v>
      </c>
      <c r="D1" s="1" t="s">
        <v>4</v>
      </c>
      <c r="E1" s="1" t="s">
        <v>5</v>
      </c>
      <c r="F1" s="1" t="s">
        <v>84</v>
      </c>
      <c r="G1" s="1" t="s">
        <v>0</v>
      </c>
      <c r="H1" s="1" t="s">
        <v>1</v>
      </c>
      <c r="I1" s="1" t="s">
        <v>2</v>
      </c>
    </row>
    <row r="2" spans="1:9" x14ac:dyDescent="0.45">
      <c r="A2" s="1">
        <v>54</v>
      </c>
      <c r="B2" t="s">
        <v>8</v>
      </c>
      <c r="C2" t="s">
        <v>70</v>
      </c>
      <c r="D2">
        <v>0.18720000000000001</v>
      </c>
      <c r="E2">
        <v>837.36</v>
      </c>
      <c r="F2">
        <v>977.12626739999996</v>
      </c>
      <c r="G2">
        <v>977.29248046875</v>
      </c>
      <c r="H2">
        <v>874.44863606911076</v>
      </c>
      <c r="I2">
        <v>1070.9207969407571</v>
      </c>
    </row>
    <row r="3" spans="1:9" x14ac:dyDescent="0.45">
      <c r="A3" s="1">
        <v>53</v>
      </c>
      <c r="B3" t="s">
        <v>8</v>
      </c>
      <c r="C3" t="s">
        <v>69</v>
      </c>
      <c r="D3">
        <v>0.10512000000000001</v>
      </c>
      <c r="E3">
        <v>1297.9079999999999</v>
      </c>
      <c r="F3">
        <v>800.92317000000003</v>
      </c>
      <c r="G3">
        <v>615.1268310546875</v>
      </c>
      <c r="H3">
        <v>514.51122848602847</v>
      </c>
      <c r="I3">
        <v>680.1634912050647</v>
      </c>
    </row>
    <row r="4" spans="1:9" x14ac:dyDescent="0.45">
      <c r="A4" s="1">
        <v>48</v>
      </c>
      <c r="B4" t="s">
        <v>8</v>
      </c>
      <c r="C4" t="s">
        <v>64</v>
      </c>
      <c r="D4">
        <v>0.12696479999999999</v>
      </c>
      <c r="E4">
        <v>1884.06</v>
      </c>
      <c r="F4">
        <v>656.75699940000004</v>
      </c>
      <c r="G4">
        <v>575.510498046875</v>
      </c>
      <c r="H4">
        <v>537.3404376697174</v>
      </c>
      <c r="I4">
        <v>398.72842354653591</v>
      </c>
    </row>
    <row r="5" spans="1:9" x14ac:dyDescent="0.45">
      <c r="A5" s="1">
        <v>8</v>
      </c>
      <c r="B5" t="s">
        <v>8</v>
      </c>
      <c r="C5" t="s">
        <v>20</v>
      </c>
      <c r="D5">
        <v>0.12696479999999999</v>
      </c>
      <c r="E5">
        <v>1884.06</v>
      </c>
      <c r="F5">
        <v>656.75699940000004</v>
      </c>
      <c r="G5">
        <v>570.22308349609375</v>
      </c>
      <c r="H5">
        <v>537.3404376697174</v>
      </c>
      <c r="I5">
        <v>398.72842354653591</v>
      </c>
    </row>
    <row r="6" spans="1:9" x14ac:dyDescent="0.45">
      <c r="A6" s="1">
        <v>61</v>
      </c>
      <c r="B6" t="s">
        <v>8</v>
      </c>
      <c r="C6" t="s">
        <v>75</v>
      </c>
      <c r="D6">
        <v>7.1999999999999995E-2</v>
      </c>
      <c r="E6">
        <v>1381.644</v>
      </c>
      <c r="F6">
        <v>480.55390200000011</v>
      </c>
      <c r="G6">
        <v>431.161376953125</v>
      </c>
      <c r="H6">
        <v>364.6889440408346</v>
      </c>
      <c r="I6">
        <v>617.00927298975091</v>
      </c>
    </row>
    <row r="7" spans="1:9" x14ac:dyDescent="0.45">
      <c r="A7" s="1">
        <v>50</v>
      </c>
      <c r="B7" t="s">
        <v>8</v>
      </c>
      <c r="C7" t="s">
        <v>66</v>
      </c>
      <c r="D7">
        <v>7.5499200000000002E-2</v>
      </c>
      <c r="E7">
        <v>1256.04</v>
      </c>
      <c r="F7">
        <v>288.33234119999997</v>
      </c>
      <c r="G7">
        <v>350.12057495117188</v>
      </c>
      <c r="H7">
        <v>364.6889440408346</v>
      </c>
      <c r="I7">
        <v>682.49687080516208</v>
      </c>
    </row>
    <row r="8" spans="1:9" x14ac:dyDescent="0.45">
      <c r="A8" s="1">
        <v>15</v>
      </c>
      <c r="B8" t="s">
        <v>8</v>
      </c>
      <c r="C8" t="s">
        <v>27</v>
      </c>
      <c r="D8">
        <v>5.7599999999999998E-2</v>
      </c>
      <c r="E8">
        <v>586.15200000000004</v>
      </c>
      <c r="F8">
        <v>288.33234119999997</v>
      </c>
      <c r="G8">
        <v>402.96749877929688</v>
      </c>
      <c r="H8">
        <v>303.29819634753909</v>
      </c>
      <c r="I8">
        <v>1008.611633454086</v>
      </c>
    </row>
    <row r="9" spans="1:9" x14ac:dyDescent="0.45">
      <c r="A9" s="1">
        <v>1</v>
      </c>
      <c r="B9" t="s">
        <v>8</v>
      </c>
      <c r="C9" t="s">
        <v>9</v>
      </c>
      <c r="D9">
        <v>9.0719999999999995E-2</v>
      </c>
      <c r="E9">
        <v>1884.06</v>
      </c>
      <c r="F9">
        <v>592.68314580000003</v>
      </c>
      <c r="G9">
        <v>430.4854736328125</v>
      </c>
      <c r="H9">
        <v>405.08086693373713</v>
      </c>
      <c r="I9">
        <v>375.77660964864748</v>
      </c>
    </row>
    <row r="10" spans="1:9" x14ac:dyDescent="0.45">
      <c r="A10" s="1">
        <v>3</v>
      </c>
      <c r="B10" t="s">
        <v>12</v>
      </c>
      <c r="C10" t="s">
        <v>13</v>
      </c>
      <c r="D10">
        <v>0.11375999999999981</v>
      </c>
      <c r="E10">
        <v>1840.5172799999989</v>
      </c>
      <c r="F10">
        <v>424.4892801000002</v>
      </c>
      <c r="G10">
        <v>476.89553833007813</v>
      </c>
      <c r="H10">
        <v>449.31837079994278</v>
      </c>
      <c r="I10">
        <v>583.37658130120496</v>
      </c>
    </row>
    <row r="11" spans="1:9" x14ac:dyDescent="0.45">
      <c r="A11" s="1">
        <v>19</v>
      </c>
      <c r="B11" t="s">
        <v>12</v>
      </c>
      <c r="C11" t="s">
        <v>31</v>
      </c>
      <c r="D11">
        <v>0.11375999999999981</v>
      </c>
      <c r="E11">
        <v>1840.5172799999989</v>
      </c>
      <c r="F11">
        <v>424.4892801000002</v>
      </c>
      <c r="G11">
        <v>492.50381469726563</v>
      </c>
      <c r="H11">
        <v>449.31837079994278</v>
      </c>
      <c r="I11">
        <v>583.37658130120496</v>
      </c>
    </row>
    <row r="12" spans="1:9" x14ac:dyDescent="0.45">
      <c r="A12" s="1">
        <v>44</v>
      </c>
      <c r="B12" t="s">
        <v>12</v>
      </c>
      <c r="C12" t="s">
        <v>61</v>
      </c>
      <c r="D12">
        <v>0.5760000000000004</v>
      </c>
      <c r="E12">
        <v>1004.832</v>
      </c>
      <c r="F12">
        <v>1922.2156079999991</v>
      </c>
      <c r="G12">
        <v>1780.257568359375</v>
      </c>
      <c r="H12">
        <v>1861.705171733603</v>
      </c>
      <c r="I12">
        <v>1297.0554764321439</v>
      </c>
    </row>
    <row r="13" spans="1:9" x14ac:dyDescent="0.45">
      <c r="A13" s="1">
        <v>63</v>
      </c>
      <c r="B13" t="s">
        <v>12</v>
      </c>
      <c r="C13" t="s">
        <v>76</v>
      </c>
      <c r="D13">
        <v>0.2482271999999997</v>
      </c>
      <c r="E13">
        <v>1465.38</v>
      </c>
      <c r="F13">
        <v>1121.2924380000011</v>
      </c>
      <c r="G13">
        <v>1123.552490234375</v>
      </c>
      <c r="H13">
        <v>1052.805950081935</v>
      </c>
      <c r="I13">
        <v>857.49879705227011</v>
      </c>
    </row>
    <row r="14" spans="1:9" x14ac:dyDescent="0.45">
      <c r="A14" s="1">
        <v>12</v>
      </c>
      <c r="B14" t="s">
        <v>24</v>
      </c>
      <c r="C14" t="s">
        <v>25</v>
      </c>
      <c r="D14">
        <v>0.1207224000000002</v>
      </c>
      <c r="E14">
        <v>1820.42064</v>
      </c>
      <c r="F14">
        <v>464.53543860000002</v>
      </c>
      <c r="G14">
        <v>484.83294677734381</v>
      </c>
      <c r="H14">
        <v>449.31837079994278</v>
      </c>
      <c r="I14">
        <v>223.10365379722421</v>
      </c>
    </row>
    <row r="15" spans="1:9" x14ac:dyDescent="0.45">
      <c r="A15" s="1">
        <v>24</v>
      </c>
      <c r="B15" t="s">
        <v>24</v>
      </c>
      <c r="C15" t="s">
        <v>38</v>
      </c>
      <c r="D15">
        <v>0.40319999999999989</v>
      </c>
      <c r="E15">
        <v>1034.1395999999991</v>
      </c>
      <c r="F15">
        <v>1124.4961306800001</v>
      </c>
      <c r="G15">
        <v>1174.126586914062</v>
      </c>
      <c r="H15">
        <v>1596.335401833499</v>
      </c>
      <c r="I15">
        <v>798.06214129560919</v>
      </c>
    </row>
    <row r="16" spans="1:9" x14ac:dyDescent="0.45">
      <c r="A16" s="1">
        <v>32</v>
      </c>
      <c r="B16" t="s">
        <v>24</v>
      </c>
      <c r="C16" t="s">
        <v>49</v>
      </c>
      <c r="D16">
        <v>0.5760000000000004</v>
      </c>
      <c r="E16">
        <v>1001.482559999999</v>
      </c>
      <c r="F16">
        <v>1906.1971446</v>
      </c>
      <c r="G16">
        <v>1621.7451171875</v>
      </c>
      <c r="H16">
        <v>1861.705171733603</v>
      </c>
      <c r="I16">
        <v>923.93741540564179</v>
      </c>
    </row>
    <row r="17" spans="1:29" x14ac:dyDescent="0.45">
      <c r="A17" s="1">
        <v>26</v>
      </c>
      <c r="B17" t="s">
        <v>41</v>
      </c>
      <c r="C17" t="s">
        <v>42</v>
      </c>
      <c r="D17">
        <v>4.0320000000000002E-2</v>
      </c>
      <c r="E17">
        <v>1098.6163200000001</v>
      </c>
      <c r="F17">
        <v>32.036926800000003</v>
      </c>
      <c r="G17">
        <v>57.575634002685547</v>
      </c>
      <c r="H17">
        <v>86.233978473419853</v>
      </c>
      <c r="I17">
        <v>248.0098287323674</v>
      </c>
    </row>
    <row r="18" spans="1:29" x14ac:dyDescent="0.45">
      <c r="A18" s="1">
        <v>37</v>
      </c>
      <c r="B18" t="s">
        <v>41</v>
      </c>
      <c r="C18" t="s">
        <v>53</v>
      </c>
      <c r="D18">
        <v>0.2015999999999995</v>
      </c>
      <c r="E18">
        <v>837.36</v>
      </c>
      <c r="F18">
        <v>616.71084089999943</v>
      </c>
      <c r="G18">
        <v>603.51824951171875</v>
      </c>
      <c r="H18">
        <v>760.47989804342683</v>
      </c>
      <c r="I18">
        <v>425.33059302909811</v>
      </c>
    </row>
    <row r="19" spans="1:29" x14ac:dyDescent="0.45">
      <c r="A19" s="1">
        <v>62</v>
      </c>
      <c r="B19" t="s">
        <v>41</v>
      </c>
      <c r="C19" t="s">
        <v>53</v>
      </c>
      <c r="D19">
        <v>3.3840000000000002E-2</v>
      </c>
      <c r="E19">
        <v>1328.05296</v>
      </c>
      <c r="F19">
        <v>44.851697520000002</v>
      </c>
      <c r="G19">
        <v>73.085845947265625</v>
      </c>
      <c r="H19">
        <v>73.85469872541546</v>
      </c>
      <c r="I19">
        <v>71.915891293851246</v>
      </c>
    </row>
    <row r="20" spans="1:29" x14ac:dyDescent="0.45">
      <c r="A20" s="1">
        <v>41</v>
      </c>
      <c r="B20" t="s">
        <v>54</v>
      </c>
      <c r="C20" t="s">
        <v>58</v>
      </c>
      <c r="D20">
        <v>8.2079999999999903E-2</v>
      </c>
      <c r="E20">
        <v>1297.9079999999999</v>
      </c>
      <c r="F20">
        <v>352.40619479999998</v>
      </c>
      <c r="G20">
        <v>329.90591430664063</v>
      </c>
      <c r="H20">
        <v>338.0390264822546</v>
      </c>
      <c r="I20">
        <v>270.13976402340211</v>
      </c>
    </row>
    <row r="21" spans="1:29" x14ac:dyDescent="0.45">
      <c r="A21" s="1">
        <v>38</v>
      </c>
      <c r="B21" t="s">
        <v>54</v>
      </c>
      <c r="C21" t="s">
        <v>55</v>
      </c>
      <c r="D21">
        <v>0.2482271999999997</v>
      </c>
      <c r="E21">
        <v>1465.38</v>
      </c>
      <c r="F21">
        <v>1121.2924380000011</v>
      </c>
      <c r="G21">
        <v>1049.462768554688</v>
      </c>
      <c r="H21">
        <v>1052.805950081935</v>
      </c>
      <c r="I21">
        <v>146.53962572496971</v>
      </c>
    </row>
    <row r="22" spans="1:29" x14ac:dyDescent="0.45">
      <c r="A22" s="1">
        <v>59</v>
      </c>
      <c r="B22" t="s">
        <v>54</v>
      </c>
      <c r="C22" t="s">
        <v>74</v>
      </c>
      <c r="D22">
        <v>2.8799999999999999E-2</v>
      </c>
      <c r="E22">
        <v>1674.72</v>
      </c>
      <c r="F22">
        <v>64.073853600000007</v>
      </c>
      <c r="G22">
        <v>68.002571105957031</v>
      </c>
      <c r="H22">
        <v>49.676201234264013</v>
      </c>
      <c r="I22">
        <v>46.585258582482311</v>
      </c>
    </row>
    <row r="23" spans="1:29" x14ac:dyDescent="0.45">
      <c r="A23" s="1">
        <v>57</v>
      </c>
      <c r="B23" t="s">
        <v>54</v>
      </c>
      <c r="C23" t="s">
        <v>73</v>
      </c>
      <c r="D23">
        <v>2.8799999999999999E-2</v>
      </c>
      <c r="E23">
        <v>1580.935680000001</v>
      </c>
      <c r="F23">
        <v>40.046158499999997</v>
      </c>
      <c r="G23">
        <v>61.303291320800781</v>
      </c>
      <c r="H23">
        <v>49.676201234264013</v>
      </c>
      <c r="I23">
        <v>93.828164707526639</v>
      </c>
    </row>
    <row r="24" spans="1:29" x14ac:dyDescent="0.45">
      <c r="A24" s="1">
        <v>29</v>
      </c>
      <c r="B24" t="s">
        <v>33</v>
      </c>
      <c r="C24" t="s">
        <v>46</v>
      </c>
      <c r="D24">
        <v>3.9600000000000003E-2</v>
      </c>
      <c r="E24">
        <v>1107.82728</v>
      </c>
      <c r="F24">
        <v>22.425848760000001</v>
      </c>
      <c r="G24">
        <v>40.927658081054688</v>
      </c>
      <c r="H24">
        <v>70.505627243886508</v>
      </c>
      <c r="I24">
        <v>194.82446416987801</v>
      </c>
    </row>
    <row r="25" spans="1:29" x14ac:dyDescent="0.45">
      <c r="A25" s="1">
        <v>47</v>
      </c>
      <c r="B25" t="s">
        <v>33</v>
      </c>
      <c r="C25" t="s">
        <v>63</v>
      </c>
      <c r="D25">
        <v>3.5279999999999902E-2</v>
      </c>
      <c r="E25">
        <v>1257.7147199999999</v>
      </c>
      <c r="F25">
        <v>32.837849970000001</v>
      </c>
      <c r="G25">
        <v>67.867279052734375</v>
      </c>
      <c r="H25">
        <v>67.82819682848212</v>
      </c>
      <c r="I25">
        <v>116.5845612197063</v>
      </c>
    </row>
    <row r="26" spans="1:29" x14ac:dyDescent="0.45">
      <c r="A26" s="1">
        <v>21</v>
      </c>
      <c r="B26" t="s">
        <v>33</v>
      </c>
      <c r="C26" t="s">
        <v>34</v>
      </c>
      <c r="D26">
        <v>4.8959999999999997E-2</v>
      </c>
      <c r="E26">
        <v>995.62103999999977</v>
      </c>
      <c r="F26">
        <v>24.82861827</v>
      </c>
      <c r="G26">
        <v>64.897972106933594</v>
      </c>
      <c r="H26">
        <v>64.081252604522874</v>
      </c>
      <c r="I26">
        <v>257.27439373387551</v>
      </c>
    </row>
    <row r="27" spans="1:29" x14ac:dyDescent="0.45">
      <c r="A27" s="1">
        <v>27</v>
      </c>
      <c r="B27" t="s">
        <v>43</v>
      </c>
      <c r="C27" t="s">
        <v>44</v>
      </c>
      <c r="D27">
        <v>2.4479999999999998E-2</v>
      </c>
      <c r="E27">
        <v>1580.935680000001</v>
      </c>
      <c r="F27">
        <v>32.998034604000011</v>
      </c>
      <c r="G27">
        <v>72.983772277832031</v>
      </c>
      <c r="H27">
        <v>73.85469872541546</v>
      </c>
      <c r="I27">
        <v>155.65586575050591</v>
      </c>
    </row>
    <row r="28" spans="1:29" x14ac:dyDescent="0.45">
      <c r="A28" s="1">
        <v>30</v>
      </c>
      <c r="B28" t="s">
        <v>10</v>
      </c>
      <c r="C28" t="s">
        <v>47</v>
      </c>
      <c r="D28">
        <v>2.3039999999999998</v>
      </c>
      <c r="E28">
        <v>900.16199999999799</v>
      </c>
      <c r="F28">
        <v>2242.5848759999999</v>
      </c>
      <c r="G28">
        <v>2377.43701171875</v>
      </c>
      <c r="H28">
        <v>2174.587261650971</v>
      </c>
      <c r="I28">
        <v>2048.4789824867512</v>
      </c>
    </row>
    <row r="29" spans="1:29" x14ac:dyDescent="0.45">
      <c r="A29" s="1">
        <v>33</v>
      </c>
      <c r="B29" t="s">
        <v>10</v>
      </c>
      <c r="C29" t="s">
        <v>47</v>
      </c>
      <c r="D29">
        <v>1.1519999999999999</v>
      </c>
      <c r="E29">
        <v>822.70619999999985</v>
      </c>
      <c r="F29">
        <v>1601.8463400000001</v>
      </c>
      <c r="G29">
        <v>2102.486328125</v>
      </c>
      <c r="H29">
        <v>2005.210494038356</v>
      </c>
      <c r="I29">
        <v>1357.9990992152109</v>
      </c>
    </row>
    <row r="30" spans="1:29" x14ac:dyDescent="0.45">
      <c r="A30" s="1">
        <v>5</v>
      </c>
      <c r="B30" t="s">
        <v>10</v>
      </c>
      <c r="C30" t="s">
        <v>15</v>
      </c>
      <c r="D30">
        <v>0.11375999999999981</v>
      </c>
      <c r="E30">
        <v>1840.5172799999989</v>
      </c>
      <c r="F30">
        <v>424.4892801000002</v>
      </c>
      <c r="G30">
        <v>424.24765014648438</v>
      </c>
      <c r="H30">
        <v>449.31837079994278</v>
      </c>
      <c r="I30">
        <v>394.79618248208982</v>
      </c>
    </row>
    <row r="31" spans="1:29" x14ac:dyDescent="0.45">
      <c r="A31" s="1">
        <v>36</v>
      </c>
      <c r="B31" t="s">
        <v>10</v>
      </c>
      <c r="C31" t="s">
        <v>52</v>
      </c>
      <c r="D31">
        <v>0.11375999999999981</v>
      </c>
      <c r="E31">
        <v>1840.5172799999989</v>
      </c>
      <c r="F31">
        <v>424.4892801000002</v>
      </c>
      <c r="G31">
        <v>423.1387939453125</v>
      </c>
      <c r="H31">
        <v>449.31837079994278</v>
      </c>
      <c r="I31">
        <v>394.79618248208982</v>
      </c>
    </row>
    <row r="32" spans="1:29" x14ac:dyDescent="0.45">
      <c r="A32" s="1">
        <v>20</v>
      </c>
      <c r="B32" t="s">
        <v>10</v>
      </c>
      <c r="C32" t="s">
        <v>32</v>
      </c>
      <c r="D32">
        <v>0.11375999999999981</v>
      </c>
      <c r="E32">
        <v>1840.5172799999989</v>
      </c>
      <c r="F32">
        <v>424.4892801000002</v>
      </c>
      <c r="G32">
        <v>426.8824462890625</v>
      </c>
      <c r="H32">
        <v>449.31837079994278</v>
      </c>
      <c r="I32">
        <v>394.79618248208982</v>
      </c>
      <c r="AB32" t="s">
        <v>80</v>
      </c>
      <c r="AC32" t="s">
        <v>80</v>
      </c>
    </row>
    <row r="33" spans="1:29" x14ac:dyDescent="0.45">
      <c r="A33" s="1">
        <v>13</v>
      </c>
      <c r="B33" t="s">
        <v>10</v>
      </c>
      <c r="C33" t="s">
        <v>26</v>
      </c>
      <c r="D33">
        <v>0.11375999999999981</v>
      </c>
      <c r="E33">
        <v>1840.5172799999989</v>
      </c>
      <c r="F33">
        <v>424.4892801000002</v>
      </c>
      <c r="G33">
        <v>428.52716064453119</v>
      </c>
      <c r="H33">
        <v>449.31837079994278</v>
      </c>
      <c r="I33">
        <v>394.79618248208982</v>
      </c>
      <c r="AA33" t="s">
        <v>78</v>
      </c>
      <c r="AB33">
        <v>1737.69</v>
      </c>
      <c r="AC33">
        <v>1737.69</v>
      </c>
    </row>
    <row r="34" spans="1:29" x14ac:dyDescent="0.45">
      <c r="A34" s="1">
        <v>43</v>
      </c>
      <c r="B34" t="s">
        <v>10</v>
      </c>
      <c r="C34" t="s">
        <v>60</v>
      </c>
      <c r="D34">
        <v>0.11375999999999981</v>
      </c>
      <c r="E34">
        <v>1840.5172799999989</v>
      </c>
      <c r="F34">
        <v>424.4892801000002</v>
      </c>
      <c r="G34">
        <v>429.25982666015619</v>
      </c>
      <c r="H34">
        <v>449.31837079994278</v>
      </c>
      <c r="I34">
        <v>394.79618248208982</v>
      </c>
      <c r="AA34" t="s">
        <v>0</v>
      </c>
      <c r="AB34">
        <v>1852.87</v>
      </c>
      <c r="AC34" cm="1">
        <f t="array" ref="AC34">SUM(AB34:AB36/3)</f>
        <v>1672.5533333333333</v>
      </c>
    </row>
    <row r="35" spans="1:29" x14ac:dyDescent="0.45">
      <c r="A35" s="1">
        <v>49</v>
      </c>
      <c r="B35" t="s">
        <v>10</v>
      </c>
      <c r="C35" t="s">
        <v>65</v>
      </c>
      <c r="D35">
        <v>0.11375999999999981</v>
      </c>
      <c r="E35">
        <v>1840.5172799999989</v>
      </c>
      <c r="F35">
        <v>424.4892801000002</v>
      </c>
      <c r="G35">
        <v>423.56512451171881</v>
      </c>
      <c r="H35">
        <v>449.31837079994278</v>
      </c>
      <c r="I35">
        <v>394.79618248208982</v>
      </c>
      <c r="AA35" t="s">
        <v>1</v>
      </c>
      <c r="AB35">
        <v>1569.69</v>
      </c>
    </row>
    <row r="36" spans="1:29" x14ac:dyDescent="0.45">
      <c r="A36" s="1">
        <v>42</v>
      </c>
      <c r="B36" t="s">
        <v>10</v>
      </c>
      <c r="C36" t="s">
        <v>59</v>
      </c>
      <c r="D36">
        <v>0.11375999999999981</v>
      </c>
      <c r="E36">
        <v>1840.5172799999989</v>
      </c>
      <c r="F36">
        <v>424.4892801000002</v>
      </c>
      <c r="G36">
        <v>423.90579223632813</v>
      </c>
      <c r="H36">
        <v>449.31837079994278</v>
      </c>
      <c r="I36">
        <v>394.79618248208982</v>
      </c>
      <c r="AA36" t="s">
        <v>2</v>
      </c>
      <c r="AB36">
        <v>1595.1</v>
      </c>
    </row>
    <row r="37" spans="1:29" x14ac:dyDescent="0.45">
      <c r="A37" s="1">
        <v>34</v>
      </c>
      <c r="B37" t="s">
        <v>10</v>
      </c>
      <c r="C37" t="s">
        <v>50</v>
      </c>
      <c r="D37">
        <v>0.11375999999999981</v>
      </c>
      <c r="E37">
        <v>1840.5172799999989</v>
      </c>
      <c r="F37">
        <v>424.4892801000002</v>
      </c>
      <c r="G37">
        <v>430.93719482421881</v>
      </c>
      <c r="H37">
        <v>449.31837079994278</v>
      </c>
      <c r="I37">
        <v>394.79618248208982</v>
      </c>
    </row>
    <row r="38" spans="1:29" x14ac:dyDescent="0.45">
      <c r="A38" s="1">
        <v>2</v>
      </c>
      <c r="B38" t="s">
        <v>10</v>
      </c>
      <c r="C38" t="s">
        <v>11</v>
      </c>
      <c r="D38">
        <v>0.11375999999999981</v>
      </c>
      <c r="E38">
        <v>1840.5172799999989</v>
      </c>
      <c r="F38">
        <v>424.4892801000002</v>
      </c>
      <c r="G38">
        <v>433.27374267578119</v>
      </c>
      <c r="H38">
        <v>449.31837079994278</v>
      </c>
      <c r="I38">
        <v>394.79618248208982</v>
      </c>
    </row>
    <row r="39" spans="1:29" x14ac:dyDescent="0.45">
      <c r="A39" s="1">
        <v>17</v>
      </c>
      <c r="B39" t="s">
        <v>10</v>
      </c>
      <c r="C39" t="s">
        <v>29</v>
      </c>
      <c r="D39">
        <v>0.11375999999999981</v>
      </c>
      <c r="E39">
        <v>1840.5172799999989</v>
      </c>
      <c r="F39">
        <v>424.4892801000002</v>
      </c>
      <c r="G39">
        <v>433.30322265625</v>
      </c>
      <c r="H39">
        <v>449.31837079994278</v>
      </c>
      <c r="I39">
        <v>394.79618248208982</v>
      </c>
      <c r="AB39" t="s">
        <v>81</v>
      </c>
    </row>
    <row r="40" spans="1:29" x14ac:dyDescent="0.45">
      <c r="A40" s="1">
        <v>39</v>
      </c>
      <c r="B40" t="s">
        <v>10</v>
      </c>
      <c r="C40" t="s">
        <v>56</v>
      </c>
      <c r="D40">
        <v>6.1919999999999993</v>
      </c>
      <c r="E40">
        <v>892.41641999999888</v>
      </c>
      <c r="F40">
        <v>2562.9541439999998</v>
      </c>
      <c r="G40">
        <v>2391.517333984375</v>
      </c>
      <c r="H40">
        <v>2691.1018512000001</v>
      </c>
      <c r="I40">
        <v>4436.4843054866278</v>
      </c>
      <c r="AA40" t="s">
        <v>79</v>
      </c>
      <c r="AB40">
        <v>0.91259999999999997</v>
      </c>
    </row>
    <row r="41" spans="1:29" x14ac:dyDescent="0.45">
      <c r="A41" s="1">
        <v>55</v>
      </c>
      <c r="B41" t="s">
        <v>18</v>
      </c>
      <c r="C41" t="s">
        <v>71</v>
      </c>
      <c r="D41">
        <v>0.64799999999999991</v>
      </c>
      <c r="E41">
        <v>869.17968000000019</v>
      </c>
      <c r="F41">
        <v>1281.4770719999999</v>
      </c>
      <c r="G41">
        <v>1729.334106445312</v>
      </c>
      <c r="H41">
        <v>1914.1236862501739</v>
      </c>
      <c r="I41">
        <v>1352.510529110825</v>
      </c>
    </row>
    <row r="42" spans="1:29" x14ac:dyDescent="0.45">
      <c r="A42" s="1">
        <v>28</v>
      </c>
      <c r="B42" t="s">
        <v>18</v>
      </c>
      <c r="C42" t="s">
        <v>45</v>
      </c>
      <c r="D42">
        <v>0.59039999999999992</v>
      </c>
      <c r="E42">
        <v>917.74655999999959</v>
      </c>
      <c r="F42">
        <v>1601.8463400000001</v>
      </c>
      <c r="G42">
        <v>1811.3828125</v>
      </c>
      <c r="H42">
        <v>1861.705171733603</v>
      </c>
      <c r="I42">
        <v>1482.3479958845539</v>
      </c>
    </row>
    <row r="43" spans="1:29" x14ac:dyDescent="0.45">
      <c r="A43" s="1">
        <v>46</v>
      </c>
      <c r="B43" t="s">
        <v>18</v>
      </c>
      <c r="C43" t="s">
        <v>45</v>
      </c>
      <c r="D43">
        <v>0.43199999999999988</v>
      </c>
      <c r="E43">
        <v>866.66760000000033</v>
      </c>
      <c r="F43">
        <v>1281.4770719999999</v>
      </c>
      <c r="G43">
        <v>1370.319458007812</v>
      </c>
      <c r="H43">
        <v>1660.4092554334991</v>
      </c>
      <c r="I43">
        <v>1407.7726062324839</v>
      </c>
    </row>
    <row r="44" spans="1:29" x14ac:dyDescent="0.45">
      <c r="A44" s="1">
        <v>58</v>
      </c>
      <c r="B44" t="s">
        <v>18</v>
      </c>
      <c r="C44" t="s">
        <v>45</v>
      </c>
      <c r="D44">
        <v>0.36</v>
      </c>
      <c r="E44">
        <v>1101.1283999999989</v>
      </c>
      <c r="F44">
        <v>1121.2924379999999</v>
      </c>
      <c r="G44">
        <v>1105.44921875</v>
      </c>
      <c r="H44">
        <v>1596.335401833499</v>
      </c>
      <c r="I44">
        <v>1244.0717495454419</v>
      </c>
    </row>
    <row r="45" spans="1:29" x14ac:dyDescent="0.45">
      <c r="A45" s="1">
        <v>16</v>
      </c>
      <c r="B45" t="s">
        <v>18</v>
      </c>
      <c r="C45" t="s">
        <v>28</v>
      </c>
      <c r="D45">
        <v>1.1160000000000001</v>
      </c>
      <c r="E45">
        <v>808.47107999999923</v>
      </c>
      <c r="F45">
        <v>1922.215608</v>
      </c>
      <c r="G45">
        <v>1750.557250976562</v>
      </c>
      <c r="H45">
        <v>1739.4415800892029</v>
      </c>
      <c r="I45">
        <v>1586.047122112753</v>
      </c>
    </row>
    <row r="46" spans="1:29" x14ac:dyDescent="0.45">
      <c r="A46" s="1">
        <v>56</v>
      </c>
      <c r="B46" t="s">
        <v>18</v>
      </c>
      <c r="C46" t="s">
        <v>72</v>
      </c>
      <c r="D46">
        <v>0.77615999999999985</v>
      </c>
      <c r="E46">
        <v>831.91716000000019</v>
      </c>
      <c r="F46">
        <v>1874.1602178000001</v>
      </c>
      <c r="G46">
        <v>1870.635375976562</v>
      </c>
      <c r="H46">
        <v>1914.1236862501739</v>
      </c>
      <c r="I46">
        <v>1363.4393316565829</v>
      </c>
      <c r="AB46" t="s">
        <v>82</v>
      </c>
    </row>
    <row r="47" spans="1:29" x14ac:dyDescent="0.45">
      <c r="A47" s="1">
        <v>7</v>
      </c>
      <c r="B47" t="s">
        <v>18</v>
      </c>
      <c r="C47" t="s">
        <v>19</v>
      </c>
      <c r="D47">
        <v>1.6415999999999999</v>
      </c>
      <c r="E47">
        <v>803.86559999999872</v>
      </c>
      <c r="F47">
        <v>1954.2525347999999</v>
      </c>
      <c r="G47">
        <v>1998.606567382812</v>
      </c>
      <c r="H47">
        <v>1957.1551038383559</v>
      </c>
      <c r="I47">
        <v>2275.539509984686</v>
      </c>
      <c r="AA47" t="s">
        <v>83</v>
      </c>
      <c r="AB47">
        <v>852.22</v>
      </c>
    </row>
    <row r="48" spans="1:29" x14ac:dyDescent="0.45">
      <c r="A48" s="1">
        <v>11</v>
      </c>
      <c r="B48" t="s">
        <v>18</v>
      </c>
      <c r="C48" t="s">
        <v>23</v>
      </c>
      <c r="D48">
        <v>0.43199999999999988</v>
      </c>
      <c r="E48">
        <v>880.06536000000006</v>
      </c>
      <c r="F48">
        <v>1601.8463400000001</v>
      </c>
      <c r="G48">
        <v>1370.931762695312</v>
      </c>
      <c r="H48">
        <v>1660.4092554334991</v>
      </c>
      <c r="I48">
        <v>1267.7370981449319</v>
      </c>
    </row>
    <row r="49" spans="1:9" x14ac:dyDescent="0.45">
      <c r="A49" s="1">
        <v>4</v>
      </c>
      <c r="B49" s="2" t="s">
        <v>6</v>
      </c>
      <c r="C49" s="2" t="s">
        <v>14</v>
      </c>
      <c r="D49" s="2">
        <v>1.0224</v>
      </c>
      <c r="E49" s="2">
        <v>841.12811999999929</v>
      </c>
      <c r="F49" s="2">
        <v>2082.4002420000002</v>
      </c>
      <c r="G49" s="2">
        <v>2060.780029296875</v>
      </c>
      <c r="H49" s="2">
        <v>1914.1236862501739</v>
      </c>
      <c r="I49" s="2">
        <v>1790.054019361414</v>
      </c>
    </row>
    <row r="50" spans="1:9" x14ac:dyDescent="0.45">
      <c r="A50" s="1">
        <v>10</v>
      </c>
      <c r="B50" s="2" t="s">
        <v>6</v>
      </c>
      <c r="C50" s="2" t="s">
        <v>14</v>
      </c>
      <c r="D50" s="2">
        <v>1.1808000000000001</v>
      </c>
      <c r="E50" s="2">
        <v>861.22475999999938</v>
      </c>
      <c r="F50" s="2">
        <v>2242.5848759999999</v>
      </c>
      <c r="G50" s="2">
        <v>2130.9736328125</v>
      </c>
      <c r="H50" s="2">
        <v>2149.376664638356</v>
      </c>
      <c r="I50" s="2">
        <v>1880.2364405012229</v>
      </c>
    </row>
    <row r="51" spans="1:9" x14ac:dyDescent="0.45">
      <c r="A51" s="1">
        <v>14</v>
      </c>
      <c r="B51" s="2" t="s">
        <v>6</v>
      </c>
      <c r="C51" s="2" t="s">
        <v>14</v>
      </c>
      <c r="D51" s="2">
        <v>0.66959999999999997</v>
      </c>
      <c r="E51" s="2">
        <v>870.85440000000017</v>
      </c>
      <c r="F51" s="2">
        <v>1601.8463400000001</v>
      </c>
      <c r="G51" s="2">
        <v>1909.963623046875</v>
      </c>
      <c r="H51" s="2">
        <v>1914.1236862501739</v>
      </c>
      <c r="I51" s="2">
        <v>1551.6711076317131</v>
      </c>
    </row>
    <row r="52" spans="1:9" x14ac:dyDescent="0.45">
      <c r="A52" s="1">
        <v>60</v>
      </c>
      <c r="B52" s="2" t="s">
        <v>6</v>
      </c>
      <c r="C52" s="2" t="s">
        <v>14</v>
      </c>
      <c r="D52" s="2">
        <v>0.77760000000000007</v>
      </c>
      <c r="E52" s="2">
        <v>835.68528000000038</v>
      </c>
      <c r="F52" s="2">
        <v>1762.030974</v>
      </c>
      <c r="G52" s="2">
        <v>1825.923950195312</v>
      </c>
      <c r="H52" s="2">
        <v>1914.1236862501739</v>
      </c>
      <c r="I52" s="2">
        <v>1637.777584490251</v>
      </c>
    </row>
    <row r="53" spans="1:9" x14ac:dyDescent="0.45">
      <c r="A53" s="1">
        <v>18</v>
      </c>
      <c r="B53" s="2" t="s">
        <v>6</v>
      </c>
      <c r="C53" s="2" t="s">
        <v>30</v>
      </c>
      <c r="D53" s="2">
        <v>0.2001600000000002</v>
      </c>
      <c r="E53" s="2">
        <v>879.22799999999995</v>
      </c>
      <c r="F53" s="2">
        <v>640.73853599999882</v>
      </c>
      <c r="G53" s="2">
        <v>729.17315673828125</v>
      </c>
      <c r="H53" s="2">
        <v>760.47989804342683</v>
      </c>
      <c r="I53" s="2">
        <v>993.40915129643213</v>
      </c>
    </row>
    <row r="54" spans="1:9" x14ac:dyDescent="0.45">
      <c r="A54" s="1">
        <v>0</v>
      </c>
      <c r="B54" s="2" t="s">
        <v>6</v>
      </c>
      <c r="C54" s="2" t="s">
        <v>7</v>
      </c>
      <c r="D54" s="2">
        <v>0.11375999999999981</v>
      </c>
      <c r="E54" s="2">
        <v>1840.5172799999989</v>
      </c>
      <c r="F54" s="2">
        <v>424.4892801000002</v>
      </c>
      <c r="G54" s="2">
        <v>422.98483276367188</v>
      </c>
      <c r="H54" s="2">
        <v>449.31837079994278</v>
      </c>
      <c r="I54" s="2">
        <v>454.4570538654051</v>
      </c>
    </row>
    <row r="55" spans="1:9" x14ac:dyDescent="0.45">
      <c r="A55" s="1">
        <v>52</v>
      </c>
      <c r="B55" s="2" t="s">
        <v>6</v>
      </c>
      <c r="C55" s="2" t="s">
        <v>68</v>
      </c>
      <c r="D55" s="2">
        <v>0.11375999999999981</v>
      </c>
      <c r="E55" s="2">
        <v>1840.5172799999989</v>
      </c>
      <c r="F55" s="2">
        <v>424.4892801000002</v>
      </c>
      <c r="G55" s="2">
        <v>418.53829956054688</v>
      </c>
      <c r="H55" s="2">
        <v>449.31837079994278</v>
      </c>
      <c r="I55" s="2">
        <v>454.4570538654051</v>
      </c>
    </row>
    <row r="56" spans="1:9" x14ac:dyDescent="0.45">
      <c r="A56" s="1">
        <v>51</v>
      </c>
      <c r="B56" s="2" t="s">
        <v>6</v>
      </c>
      <c r="C56" s="2" t="s">
        <v>67</v>
      </c>
      <c r="D56" s="2">
        <v>0.11375999999999981</v>
      </c>
      <c r="E56" s="2">
        <v>1840.5172799999989</v>
      </c>
      <c r="F56" s="2">
        <v>424.4892801000002</v>
      </c>
      <c r="G56" s="2">
        <v>417.951171875</v>
      </c>
      <c r="H56" s="2">
        <v>449.31837079994278</v>
      </c>
      <c r="I56" s="2">
        <v>454.4570538654051</v>
      </c>
    </row>
    <row r="57" spans="1:9" x14ac:dyDescent="0.45">
      <c r="A57" s="1">
        <v>6</v>
      </c>
      <c r="B57" t="s">
        <v>16</v>
      </c>
      <c r="C57" t="s">
        <v>17</v>
      </c>
      <c r="D57">
        <v>0.27076319999999959</v>
      </c>
      <c r="E57">
        <v>1256.04</v>
      </c>
      <c r="F57">
        <v>1121.2924379999999</v>
      </c>
      <c r="G57">
        <v>1153.689208984375</v>
      </c>
      <c r="H57">
        <v>1211.218912679645</v>
      </c>
      <c r="I57">
        <v>1022.929869684845</v>
      </c>
    </row>
    <row r="58" spans="1:9" x14ac:dyDescent="0.45">
      <c r="A58" s="1">
        <v>40</v>
      </c>
      <c r="B58" t="s">
        <v>16</v>
      </c>
      <c r="C58" t="s">
        <v>57</v>
      </c>
      <c r="D58">
        <v>8.2080000000000097E-2</v>
      </c>
      <c r="E58">
        <v>1297.9079999999999</v>
      </c>
      <c r="F58">
        <v>352.40619480000078</v>
      </c>
      <c r="G58">
        <v>416.98098754882813</v>
      </c>
      <c r="H58">
        <v>362.21752397340612</v>
      </c>
      <c r="I58">
        <v>882.35672103747595</v>
      </c>
    </row>
    <row r="59" spans="1:9" x14ac:dyDescent="0.45">
      <c r="A59" s="1">
        <v>31</v>
      </c>
      <c r="B59" t="s">
        <v>21</v>
      </c>
      <c r="C59" t="s">
        <v>48</v>
      </c>
      <c r="D59">
        <v>0.72</v>
      </c>
      <c r="E59">
        <v>837.36</v>
      </c>
      <c r="F59">
        <v>1858.1417544000001</v>
      </c>
      <c r="G59">
        <v>1681.591918945312</v>
      </c>
      <c r="H59">
        <v>1727.5274812123889</v>
      </c>
      <c r="I59">
        <v>1243.849191264379</v>
      </c>
    </row>
    <row r="60" spans="1:9" x14ac:dyDescent="0.45">
      <c r="A60" s="1">
        <v>45</v>
      </c>
      <c r="B60" t="s">
        <v>21</v>
      </c>
      <c r="C60" t="s">
        <v>62</v>
      </c>
      <c r="D60">
        <v>0.37871999999999989</v>
      </c>
      <c r="E60">
        <v>1076.007599999999</v>
      </c>
      <c r="F60">
        <v>1121.2924379999999</v>
      </c>
      <c r="G60">
        <v>1034.13916015625</v>
      </c>
      <c r="H60">
        <v>1302.4154920157141</v>
      </c>
      <c r="I60">
        <v>1015.184760089258</v>
      </c>
    </row>
    <row r="61" spans="1:9" x14ac:dyDescent="0.45">
      <c r="A61" s="1">
        <v>9</v>
      </c>
      <c r="B61" t="s">
        <v>21</v>
      </c>
      <c r="C61" t="s">
        <v>22</v>
      </c>
      <c r="D61">
        <v>0.80639999999999989</v>
      </c>
      <c r="E61">
        <v>837.36</v>
      </c>
      <c r="F61">
        <v>1681.9386569999999</v>
      </c>
      <c r="G61">
        <v>1761.190307617188</v>
      </c>
      <c r="H61">
        <v>1727.5274812123889</v>
      </c>
      <c r="I61">
        <v>1298.561500913695</v>
      </c>
    </row>
    <row r="62" spans="1:9" x14ac:dyDescent="0.45">
      <c r="A62" s="1">
        <v>35</v>
      </c>
      <c r="B62" t="s">
        <v>21</v>
      </c>
      <c r="C62" t="s">
        <v>51</v>
      </c>
      <c r="D62">
        <v>0.63360000000000005</v>
      </c>
      <c r="E62">
        <v>889.27631999999994</v>
      </c>
      <c r="F62">
        <v>1569.8094132000001</v>
      </c>
      <c r="G62">
        <v>1703.744140625</v>
      </c>
      <c r="H62">
        <v>1727.5274812123889</v>
      </c>
      <c r="I62">
        <v>1162.984558581556</v>
      </c>
    </row>
    <row r="63" spans="1:9" x14ac:dyDescent="0.45">
      <c r="A63" s="1">
        <v>23</v>
      </c>
      <c r="B63" t="s">
        <v>21</v>
      </c>
      <c r="C63" t="s">
        <v>37</v>
      </c>
      <c r="D63">
        <v>0.20016</v>
      </c>
      <c r="E63">
        <v>879.22800000000143</v>
      </c>
      <c r="F63">
        <v>640.73853600000007</v>
      </c>
      <c r="G63">
        <v>678.36651611328125</v>
      </c>
      <c r="H63">
        <v>760.47989804342683</v>
      </c>
      <c r="I63">
        <v>869.13119248606381</v>
      </c>
    </row>
    <row r="64" spans="1:9" x14ac:dyDescent="0.45">
      <c r="A64" s="1">
        <v>25</v>
      </c>
      <c r="B64" t="s">
        <v>39</v>
      </c>
      <c r="C64" t="s">
        <v>40</v>
      </c>
      <c r="D64">
        <v>9.9359999999999907E-2</v>
      </c>
      <c r="E64">
        <v>1884.06</v>
      </c>
      <c r="F64">
        <v>400.46158500000001</v>
      </c>
      <c r="G64">
        <v>404.47073364257813</v>
      </c>
      <c r="H64">
        <v>380.82433664230848</v>
      </c>
      <c r="I64">
        <v>344.32643894616388</v>
      </c>
    </row>
    <row r="65" spans="1:9" x14ac:dyDescent="0.45">
      <c r="A65" s="1">
        <v>22</v>
      </c>
      <c r="B65" t="s">
        <v>35</v>
      </c>
      <c r="C65" t="s">
        <v>36</v>
      </c>
      <c r="D65">
        <v>0.14101920000000009</v>
      </c>
      <c r="E65">
        <v>1632.8520000000001</v>
      </c>
      <c r="F65">
        <v>513.15147501899969</v>
      </c>
      <c r="G65">
        <v>518.393310546875</v>
      </c>
      <c r="H65">
        <v>567.02036199800295</v>
      </c>
      <c r="I65">
        <v>421.51922602996859</v>
      </c>
    </row>
  </sheetData>
  <autoFilter ref="A1:I1" xr:uid="{5D693AC4-175C-4099-8461-FC29B88456F0}">
    <sortState xmlns:xlrd2="http://schemas.microsoft.com/office/spreadsheetml/2017/richdata2" ref="A2:I65">
      <sortCondition ref="B1"/>
    </sortState>
  </autoFilter>
  <sortState xmlns:xlrd2="http://schemas.microsoft.com/office/spreadsheetml/2017/richdata2" ref="A2:I65">
    <sortCondition ref="A1:A6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Kaltenegger, Julia</dc:creator>
  <cp:lastModifiedBy>Kaltenegger, Julia</cp:lastModifiedBy>
  <dcterms:created xsi:type="dcterms:W3CDTF">2025-01-14T20:54:45Z</dcterms:created>
  <dcterms:modified xsi:type="dcterms:W3CDTF">2025-01-15T16:32:46Z</dcterms:modified>
</cp:coreProperties>
</file>