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80031\Python_Impute_Ashrae\"/>
    </mc:Choice>
  </mc:AlternateContent>
  <xr:revisionPtr revIDLastSave="0" documentId="13_ncr:1_{A344A1D7-4BA4-47A5-9E3F-388A4547D779}" xr6:coauthVersionLast="47" xr6:coauthVersionMax="47" xr10:uidLastSave="{00000000-0000-0000-0000-000000000000}"/>
  <bookViews>
    <workbookView xWindow="57480" yWindow="-120" windowWidth="29040" windowHeight="15840" xr2:uid="{43F2CF30-56F7-47CF-B0C0-1E575E334F32}"/>
  </bookViews>
  <sheets>
    <sheet name="Y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G4" i="1"/>
  <c r="G5" i="1"/>
  <c r="G6" i="1"/>
  <c r="G66" i="1" s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3" i="1"/>
  <c r="G2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8" i="1"/>
  <c r="C7" i="1"/>
  <c r="C6" i="1"/>
  <c r="C5" i="1"/>
  <c r="C4" i="1"/>
  <c r="C3" i="1"/>
  <c r="C2" i="1"/>
  <c r="C66" i="1" l="1"/>
</calcChain>
</file>

<file path=xl/sharedStrings.xml><?xml version="1.0" encoding="utf-8"?>
<sst xmlns="http://schemas.openxmlformats.org/spreadsheetml/2006/main" count="15" uniqueCount="9">
  <si>
    <t>Y-test</t>
  </si>
  <si>
    <t>LinearRegression_MSR</t>
  </si>
  <si>
    <t>Ridge_Regression_MSR</t>
  </si>
  <si>
    <t>1_Linear Regression predicted_Y_for_X_test</t>
  </si>
  <si>
    <t>materialData_ii_imputed (Iterative impute), estimator=ExtraTreesRegressor(), max_iter=100, random_state=1121218
rs = ShuffleSplit(n_splits=5)</t>
  </si>
  <si>
    <t>materialData_ii_imputed (Iterative impute), estimator=ExtraTreesRegressor(), max_iter=100, random_state=1121218
rs = ShuffleSplit(n_splits=7)</t>
  </si>
  <si>
    <t>materialData_ii_imputed (Iterative impute), estimator=ExtraTreesRegressor(), max_iter=100, random_state=1121218
rs = ShuffleSplit(n_splits=5)
alpha = 10</t>
  </si>
  <si>
    <t>3_KernelRidge Regression predicted_Y_for_X_test</t>
  </si>
  <si>
    <t>2_RidgeRegression_Y_for_X_test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</si>
</sst>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5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36" borderId="0" xfId="0" applyFill="1" applyAlignment="1">
      <alignment horizontal="left"/>
    </xf>
    <xf numFmtId="0" fontId="18" fillId="34" borderId="0" xfId="0" applyFont="1" applyFill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33" borderId="0" xfId="0" applyFont="1" applyFill="1" applyAlignment="1">
      <alignment horizontal="left"/>
    </xf>
    <xf numFmtId="0" fontId="18" fillId="36" borderId="0" xfId="0" applyFont="1" applyFill="1" applyAlignment="1">
      <alignment horizontal="left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Y_test!$A$1</c:f>
              <c:strCache>
                <c:ptCount val="1"/>
                <c:pt idx="0">
                  <c:v>Y-test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Y_test!$A$2:$A$66</c:f>
              <c:numCache>
                <c:formatCode>General</c:formatCode>
                <c:ptCount val="65"/>
                <c:pt idx="0">
                  <c:v>424.48928009999997</c:v>
                </c:pt>
                <c:pt idx="1">
                  <c:v>1569.8094132000001</c:v>
                </c:pt>
                <c:pt idx="2">
                  <c:v>424.48928009999997</c:v>
                </c:pt>
                <c:pt idx="3">
                  <c:v>424.48928009999997</c:v>
                </c:pt>
                <c:pt idx="4">
                  <c:v>8.8101548699999999</c:v>
                </c:pt>
                <c:pt idx="5">
                  <c:v>640.73853599999995</c:v>
                </c:pt>
                <c:pt idx="6">
                  <c:v>480.55390199999903</c:v>
                </c:pt>
                <c:pt idx="7">
                  <c:v>1601.8463400000001</c:v>
                </c:pt>
                <c:pt idx="8">
                  <c:v>1281.4770719999899</c:v>
                </c:pt>
                <c:pt idx="9">
                  <c:v>861.15259238399904</c:v>
                </c:pt>
                <c:pt idx="10">
                  <c:v>424.00872619799901</c:v>
                </c:pt>
                <c:pt idx="11">
                  <c:v>861.15259238399904</c:v>
                </c:pt>
                <c:pt idx="12">
                  <c:v>2883.3234120000002</c:v>
                </c:pt>
                <c:pt idx="13">
                  <c:v>20.023079249999999</c:v>
                </c:pt>
                <c:pt idx="14">
                  <c:v>424.48928009999997</c:v>
                </c:pt>
                <c:pt idx="15">
                  <c:v>424.48928009999997</c:v>
                </c:pt>
                <c:pt idx="16">
                  <c:v>1922.215608</c:v>
                </c:pt>
                <c:pt idx="17">
                  <c:v>30.435080459999998</c:v>
                </c:pt>
                <c:pt idx="18">
                  <c:v>72.083085299999993</c:v>
                </c:pt>
                <c:pt idx="19">
                  <c:v>28.83323412</c:v>
                </c:pt>
                <c:pt idx="20">
                  <c:v>464.53543860000002</c:v>
                </c:pt>
                <c:pt idx="21">
                  <c:v>1121.2924379999999</c:v>
                </c:pt>
                <c:pt idx="22">
                  <c:v>608.70160920000001</c:v>
                </c:pt>
                <c:pt idx="23">
                  <c:v>32.837849970000001</c:v>
                </c:pt>
                <c:pt idx="24">
                  <c:v>2402.7695100000001</c:v>
                </c:pt>
                <c:pt idx="25">
                  <c:v>40.046158499999997</c:v>
                </c:pt>
                <c:pt idx="26">
                  <c:v>48.055390199999998</c:v>
                </c:pt>
                <c:pt idx="27">
                  <c:v>2242.5848759999999</c:v>
                </c:pt>
                <c:pt idx="28">
                  <c:v>977.12626740000098</c:v>
                </c:pt>
                <c:pt idx="29">
                  <c:v>24.82861827</c:v>
                </c:pt>
                <c:pt idx="30">
                  <c:v>480.55390199999903</c:v>
                </c:pt>
                <c:pt idx="31">
                  <c:v>720.83085300000005</c:v>
                </c:pt>
                <c:pt idx="32">
                  <c:v>656.75699940000004</c:v>
                </c:pt>
                <c:pt idx="33">
                  <c:v>977.12626740000098</c:v>
                </c:pt>
                <c:pt idx="34">
                  <c:v>400.46158500000001</c:v>
                </c:pt>
                <c:pt idx="35">
                  <c:v>424.48928009999997</c:v>
                </c:pt>
                <c:pt idx="36">
                  <c:v>400.46158500000001</c:v>
                </c:pt>
                <c:pt idx="37">
                  <c:v>977.12626739999996</c:v>
                </c:pt>
                <c:pt idx="38">
                  <c:v>352.40619479999998</c:v>
                </c:pt>
                <c:pt idx="39">
                  <c:v>352.40619479999998</c:v>
                </c:pt>
                <c:pt idx="40">
                  <c:v>528.60929220000003</c:v>
                </c:pt>
                <c:pt idx="41">
                  <c:v>424.48928009999997</c:v>
                </c:pt>
                <c:pt idx="42">
                  <c:v>26.430464610000001</c:v>
                </c:pt>
                <c:pt idx="43">
                  <c:v>961.10780399999999</c:v>
                </c:pt>
                <c:pt idx="44">
                  <c:v>480.55390199999903</c:v>
                </c:pt>
                <c:pt idx="45">
                  <c:v>1601.8463400000001</c:v>
                </c:pt>
                <c:pt idx="46">
                  <c:v>1922.215608</c:v>
                </c:pt>
                <c:pt idx="47">
                  <c:v>2306.6587295999998</c:v>
                </c:pt>
                <c:pt idx="48">
                  <c:v>32.036926800000003</c:v>
                </c:pt>
                <c:pt idx="49">
                  <c:v>424.48928009999997</c:v>
                </c:pt>
                <c:pt idx="50">
                  <c:v>424.48928009999997</c:v>
                </c:pt>
                <c:pt idx="51">
                  <c:v>60.069237749999999</c:v>
                </c:pt>
                <c:pt idx="52">
                  <c:v>320.36926799999998</c:v>
                </c:pt>
                <c:pt idx="53">
                  <c:v>1121.2924379999999</c:v>
                </c:pt>
                <c:pt idx="54">
                  <c:v>22.425848760000001</c:v>
                </c:pt>
                <c:pt idx="55">
                  <c:v>1121.2924379999999</c:v>
                </c:pt>
                <c:pt idx="56">
                  <c:v>28.032310949999999</c:v>
                </c:pt>
                <c:pt idx="57">
                  <c:v>1954.2525347999999</c:v>
                </c:pt>
                <c:pt idx="58">
                  <c:v>448.51697519999999</c:v>
                </c:pt>
                <c:pt idx="59">
                  <c:v>1281.4770719999999</c:v>
                </c:pt>
                <c:pt idx="60">
                  <c:v>1601.8463400000001</c:v>
                </c:pt>
                <c:pt idx="61">
                  <c:v>17.62030974</c:v>
                </c:pt>
                <c:pt idx="62">
                  <c:v>424.48928009999997</c:v>
                </c:pt>
                <c:pt idx="63">
                  <c:v>320.36926799999998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1-4B4A-9FFE-D006BF74DB1D}"/>
            </c:ext>
          </c:extLst>
        </c:ser>
        <c:ser>
          <c:idx val="1"/>
          <c:order val="1"/>
          <c:tx>
            <c:strRef>
              <c:f>Y_test!$B$1</c:f>
              <c:strCache>
                <c:ptCount val="1"/>
                <c:pt idx="0">
                  <c:v>1_Linear Regression predicted_Y_for_X_test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Y_test!$B$2:$B$66</c:f>
              <c:numCache>
                <c:formatCode>General</c:formatCode>
                <c:ptCount val="65"/>
                <c:pt idx="0">
                  <c:v>339.354775520884</c:v>
                </c:pt>
                <c:pt idx="1">
                  <c:v>1184.86098217534</c:v>
                </c:pt>
                <c:pt idx="2">
                  <c:v>339.354775520884</c:v>
                </c:pt>
                <c:pt idx="3">
                  <c:v>339.354775520884</c:v>
                </c:pt>
                <c:pt idx="4">
                  <c:v>765.36039658397601</c:v>
                </c:pt>
                <c:pt idx="5">
                  <c:v>930.63535629109401</c:v>
                </c:pt>
                <c:pt idx="6">
                  <c:v>689.18841814342898</c:v>
                </c:pt>
                <c:pt idx="7">
                  <c:v>1526.8159888653299</c:v>
                </c:pt>
                <c:pt idx="8">
                  <c:v>1131.6281587143301</c:v>
                </c:pt>
                <c:pt idx="9">
                  <c:v>914.70457378638798</c:v>
                </c:pt>
                <c:pt idx="10">
                  <c:v>575.56136572734204</c:v>
                </c:pt>
                <c:pt idx="11">
                  <c:v>914.70457378638798</c:v>
                </c:pt>
                <c:pt idx="12">
                  <c:v>3372.3483209747101</c:v>
                </c:pt>
                <c:pt idx="13">
                  <c:v>649.40318405064397</c:v>
                </c:pt>
                <c:pt idx="14">
                  <c:v>339.354775520884</c:v>
                </c:pt>
                <c:pt idx="15">
                  <c:v>339.354775520884</c:v>
                </c:pt>
                <c:pt idx="16">
                  <c:v>1082.6337666066499</c:v>
                </c:pt>
                <c:pt idx="17">
                  <c:v>474.40356078235601</c:v>
                </c:pt>
                <c:pt idx="18">
                  <c:v>592.30001525781802</c:v>
                </c:pt>
                <c:pt idx="19">
                  <c:v>556.94021272639702</c:v>
                </c:pt>
                <c:pt idx="20">
                  <c:v>375.01482100232698</c:v>
                </c:pt>
                <c:pt idx="21">
                  <c:v>641.46865579334201</c:v>
                </c:pt>
                <c:pt idx="22">
                  <c:v>870.298761169312</c:v>
                </c:pt>
                <c:pt idx="23">
                  <c:v>625.81475934433399</c:v>
                </c:pt>
                <c:pt idx="24">
                  <c:v>2083.9832944213099</c:v>
                </c:pt>
                <c:pt idx="25">
                  <c:v>426.28134761924099</c:v>
                </c:pt>
                <c:pt idx="26">
                  <c:v>718.52206726340103</c:v>
                </c:pt>
                <c:pt idx="27">
                  <c:v>1521.5622830263601</c:v>
                </c:pt>
                <c:pt idx="28">
                  <c:v>946.58321930856698</c:v>
                </c:pt>
                <c:pt idx="29">
                  <c:v>748.198846249599</c:v>
                </c:pt>
                <c:pt idx="30">
                  <c:v>689.18841814342898</c:v>
                </c:pt>
                <c:pt idx="31">
                  <c:v>680.05460692632005</c:v>
                </c:pt>
                <c:pt idx="32">
                  <c:v>316.59088024426802</c:v>
                </c:pt>
                <c:pt idx="33">
                  <c:v>946.58321930856698</c:v>
                </c:pt>
                <c:pt idx="34">
                  <c:v>589.94121565576302</c:v>
                </c:pt>
                <c:pt idx="35">
                  <c:v>339.354775520884</c:v>
                </c:pt>
                <c:pt idx="36">
                  <c:v>385.90025380550099</c:v>
                </c:pt>
                <c:pt idx="37">
                  <c:v>946.58321930856698</c:v>
                </c:pt>
                <c:pt idx="38">
                  <c:v>624.26431632451704</c:v>
                </c:pt>
                <c:pt idx="39">
                  <c:v>374.53989748516</c:v>
                </c:pt>
                <c:pt idx="40">
                  <c:v>1052.4823984608299</c:v>
                </c:pt>
                <c:pt idx="41">
                  <c:v>339.354775520884</c:v>
                </c:pt>
                <c:pt idx="42">
                  <c:v>737.58234075596602</c:v>
                </c:pt>
                <c:pt idx="43">
                  <c:v>890.11725530909803</c:v>
                </c:pt>
                <c:pt idx="44">
                  <c:v>689.18841814342898</c:v>
                </c:pt>
                <c:pt idx="45">
                  <c:v>1071.3885924748199</c:v>
                </c:pt>
                <c:pt idx="46">
                  <c:v>1969.42730991087</c:v>
                </c:pt>
                <c:pt idx="47">
                  <c:v>1500.2653067815299</c:v>
                </c:pt>
                <c:pt idx="48">
                  <c:v>712.941222872597</c:v>
                </c:pt>
                <c:pt idx="49">
                  <c:v>339.354775520884</c:v>
                </c:pt>
                <c:pt idx="50">
                  <c:v>339.354775520884</c:v>
                </c:pt>
                <c:pt idx="51">
                  <c:v>572.49304555349204</c:v>
                </c:pt>
                <c:pt idx="52">
                  <c:v>384.87723837013601</c:v>
                </c:pt>
                <c:pt idx="53">
                  <c:v>641.46865579334201</c:v>
                </c:pt>
                <c:pt idx="54">
                  <c:v>705.89666379996402</c:v>
                </c:pt>
                <c:pt idx="55">
                  <c:v>641.46865579334201</c:v>
                </c:pt>
                <c:pt idx="56">
                  <c:v>705.89666379996402</c:v>
                </c:pt>
                <c:pt idx="57">
                  <c:v>1829.9471165274299</c:v>
                </c:pt>
                <c:pt idx="58">
                  <c:v>295.23169902976701</c:v>
                </c:pt>
                <c:pt idx="59">
                  <c:v>1103.11194282971</c:v>
                </c:pt>
                <c:pt idx="60">
                  <c:v>1149.7865755206401</c:v>
                </c:pt>
                <c:pt idx="61">
                  <c:v>730.81979167704299</c:v>
                </c:pt>
                <c:pt idx="62">
                  <c:v>339.354775520884</c:v>
                </c:pt>
                <c:pt idx="63">
                  <c:v>278.86856779946601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91-4B4A-9FFE-D006BF74DB1D}"/>
            </c:ext>
          </c:extLst>
        </c:ser>
        <c:ser>
          <c:idx val="2"/>
          <c:order val="2"/>
          <c:tx>
            <c:strRef>
              <c:f>Y_test!$D$1</c:f>
              <c:strCache>
                <c:ptCount val="1"/>
                <c:pt idx="0">
                  <c:v>1_Linear Regression predicted_Y_for_X_test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Y_test!$D$2:$D$66</c:f>
              <c:numCache>
                <c:formatCode>General</c:formatCode>
                <c:ptCount val="65"/>
                <c:pt idx="0">
                  <c:v>854.83468178123803</c:v>
                </c:pt>
                <c:pt idx="1">
                  <c:v>1181.3758019418401</c:v>
                </c:pt>
                <c:pt idx="2">
                  <c:v>854.83468178123803</c:v>
                </c:pt>
                <c:pt idx="3">
                  <c:v>854.83468178123803</c:v>
                </c:pt>
                <c:pt idx="4">
                  <c:v>778.62387235312406</c:v>
                </c:pt>
                <c:pt idx="5">
                  <c:v>922.97966294076605</c:v>
                </c:pt>
                <c:pt idx="6">
                  <c:v>654.70987755665999</c:v>
                </c:pt>
                <c:pt idx="7">
                  <c:v>1532.90011954344</c:v>
                </c:pt>
                <c:pt idx="8">
                  <c:v>993.32614985951</c:v>
                </c:pt>
                <c:pt idx="9">
                  <c:v>907.31615910127596</c:v>
                </c:pt>
                <c:pt idx="10">
                  <c:v>527.30278644228599</c:v>
                </c:pt>
                <c:pt idx="11">
                  <c:v>907.31615910127596</c:v>
                </c:pt>
                <c:pt idx="12">
                  <c:v>3362.67020926134</c:v>
                </c:pt>
                <c:pt idx="13">
                  <c:v>583.49669532975804</c:v>
                </c:pt>
                <c:pt idx="14">
                  <c:v>854.83468178123803</c:v>
                </c:pt>
                <c:pt idx="15">
                  <c:v>524.91989109378301</c:v>
                </c:pt>
                <c:pt idx="16">
                  <c:v>1064.1005273205401</c:v>
                </c:pt>
                <c:pt idx="17">
                  <c:v>413.694626921701</c:v>
                </c:pt>
                <c:pt idx="18">
                  <c:v>491.83097645065698</c:v>
                </c:pt>
                <c:pt idx="19">
                  <c:v>496.837975347976</c:v>
                </c:pt>
                <c:pt idx="20">
                  <c:v>155.35282035488601</c:v>
                </c:pt>
                <c:pt idx="21">
                  <c:v>551.48056200502299</c:v>
                </c:pt>
                <c:pt idx="22">
                  <c:v>924.24712115616899</c:v>
                </c:pt>
                <c:pt idx="23">
                  <c:v>557.29132707511701</c:v>
                </c:pt>
                <c:pt idx="24">
                  <c:v>2078.00187099292</c:v>
                </c:pt>
                <c:pt idx="25">
                  <c:v>361.86978567167</c:v>
                </c:pt>
                <c:pt idx="26">
                  <c:v>689.43618047945301</c:v>
                </c:pt>
                <c:pt idx="27">
                  <c:v>1519.0332185217701</c:v>
                </c:pt>
                <c:pt idx="28">
                  <c:v>959.77161842100099</c:v>
                </c:pt>
                <c:pt idx="29">
                  <c:v>758.14442747302303</c:v>
                </c:pt>
                <c:pt idx="30">
                  <c:v>654.70987755665999</c:v>
                </c:pt>
                <c:pt idx="31">
                  <c:v>616.75399982229897</c:v>
                </c:pt>
                <c:pt idx="32">
                  <c:v>171.07136603116601</c:v>
                </c:pt>
                <c:pt idx="33">
                  <c:v>959.77161842100099</c:v>
                </c:pt>
                <c:pt idx="34">
                  <c:v>275.680903671664</c:v>
                </c:pt>
                <c:pt idx="35">
                  <c:v>854.83468178123803</c:v>
                </c:pt>
                <c:pt idx="36">
                  <c:v>610.91063148480305</c:v>
                </c:pt>
                <c:pt idx="37">
                  <c:v>951.25208146908801</c:v>
                </c:pt>
                <c:pt idx="38">
                  <c:v>566.81706913205403</c:v>
                </c:pt>
                <c:pt idx="39">
                  <c:v>558.90039937988695</c:v>
                </c:pt>
                <c:pt idx="40">
                  <c:v>1056.89433967281</c:v>
                </c:pt>
                <c:pt idx="41">
                  <c:v>854.83468178123803</c:v>
                </c:pt>
                <c:pt idx="42">
                  <c:v>730.208262634314</c:v>
                </c:pt>
                <c:pt idx="43">
                  <c:v>911.01775412295694</c:v>
                </c:pt>
                <c:pt idx="44">
                  <c:v>654.70987755665999</c:v>
                </c:pt>
                <c:pt idx="45">
                  <c:v>1048.6804720396501</c:v>
                </c:pt>
                <c:pt idx="46">
                  <c:v>1977.33266780552</c:v>
                </c:pt>
                <c:pt idx="47">
                  <c:v>1501.6353907545599</c:v>
                </c:pt>
                <c:pt idx="48">
                  <c:v>680.96758841399901</c:v>
                </c:pt>
                <c:pt idx="49">
                  <c:v>854.83468178123803</c:v>
                </c:pt>
                <c:pt idx="50">
                  <c:v>854.83468178123803</c:v>
                </c:pt>
                <c:pt idx="51">
                  <c:v>463.28202715901301</c:v>
                </c:pt>
                <c:pt idx="52">
                  <c:v>502.33603441893399</c:v>
                </c:pt>
                <c:pt idx="53">
                  <c:v>551.48056200502299</c:v>
                </c:pt>
                <c:pt idx="54">
                  <c:v>665.89423008512699</c:v>
                </c:pt>
                <c:pt idx="55">
                  <c:v>551.48056200502299</c:v>
                </c:pt>
                <c:pt idx="56">
                  <c:v>665.89423008512699</c:v>
                </c:pt>
                <c:pt idx="57">
                  <c:v>1835.1611239823901</c:v>
                </c:pt>
                <c:pt idx="58">
                  <c:v>154.70533554654</c:v>
                </c:pt>
                <c:pt idx="59">
                  <c:v>1063.8599703928101</c:v>
                </c:pt>
                <c:pt idx="60">
                  <c:v>1130.0377996790601</c:v>
                </c:pt>
                <c:pt idx="61">
                  <c:v>713.53713693934503</c:v>
                </c:pt>
                <c:pt idx="62">
                  <c:v>854.83468178123803</c:v>
                </c:pt>
                <c:pt idx="63">
                  <c:v>142.20717483808201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91-4B4A-9FFE-D006BF74DB1D}"/>
            </c:ext>
          </c:extLst>
        </c:ser>
        <c:ser>
          <c:idx val="3"/>
          <c:order val="3"/>
          <c:tx>
            <c:strRef>
              <c:f>Y_test!$E$1</c:f>
              <c:strCache>
                <c:ptCount val="1"/>
                <c:pt idx="0">
                  <c:v>2_RidgeRegression_Y_for_X_test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Y_test!$E$2:$E$66</c:f>
              <c:numCache>
                <c:formatCode>General</c:formatCode>
                <c:ptCount val="65"/>
                <c:pt idx="0">
                  <c:v>874.23847521902997</c:v>
                </c:pt>
                <c:pt idx="1">
                  <c:v>1176.5622049058099</c:v>
                </c:pt>
                <c:pt idx="2">
                  <c:v>874.23847521902997</c:v>
                </c:pt>
                <c:pt idx="3">
                  <c:v>874.23847521902997</c:v>
                </c:pt>
                <c:pt idx="4">
                  <c:v>806.64445145058403</c:v>
                </c:pt>
                <c:pt idx="5">
                  <c:v>946.79107935570198</c:v>
                </c:pt>
                <c:pt idx="6">
                  <c:v>670.19588217436103</c:v>
                </c:pt>
                <c:pt idx="7">
                  <c:v>1498.42300028819</c:v>
                </c:pt>
                <c:pt idx="8">
                  <c:v>1020.19367416149</c:v>
                </c:pt>
                <c:pt idx="9">
                  <c:v>927.50237530036395</c:v>
                </c:pt>
                <c:pt idx="10">
                  <c:v>529.93953968429298</c:v>
                </c:pt>
                <c:pt idx="11">
                  <c:v>927.50237530036395</c:v>
                </c:pt>
                <c:pt idx="12">
                  <c:v>3123.4374056881302</c:v>
                </c:pt>
                <c:pt idx="13">
                  <c:v>598.67420803909295</c:v>
                </c:pt>
                <c:pt idx="14">
                  <c:v>874.23847521902997</c:v>
                </c:pt>
                <c:pt idx="15">
                  <c:v>527.44116376483896</c:v>
                </c:pt>
                <c:pt idx="16">
                  <c:v>1056.81582357139</c:v>
                </c:pt>
                <c:pt idx="17">
                  <c:v>416.96996477698201</c:v>
                </c:pt>
                <c:pt idx="18">
                  <c:v>500.40423754673799</c:v>
                </c:pt>
                <c:pt idx="19">
                  <c:v>505.934803919579</c:v>
                </c:pt>
                <c:pt idx="20">
                  <c:v>134.26445087443599</c:v>
                </c:pt>
                <c:pt idx="21">
                  <c:v>540.90057945979402</c:v>
                </c:pt>
                <c:pt idx="22">
                  <c:v>948.028473722802</c:v>
                </c:pt>
                <c:pt idx="23">
                  <c:v>570.61387724736505</c:v>
                </c:pt>
                <c:pt idx="24">
                  <c:v>1975.6399397878299</c:v>
                </c:pt>
                <c:pt idx="25">
                  <c:v>361.47839735634398</c:v>
                </c:pt>
                <c:pt idx="26">
                  <c:v>711.80718755389205</c:v>
                </c:pt>
                <c:pt idx="27">
                  <c:v>1480.4457883064999</c:v>
                </c:pt>
                <c:pt idx="28">
                  <c:v>984.93708974376796</c:v>
                </c:pt>
                <c:pt idx="29">
                  <c:v>784.80942174078302</c:v>
                </c:pt>
                <c:pt idx="30">
                  <c:v>670.19588217436103</c:v>
                </c:pt>
                <c:pt idx="31">
                  <c:v>615.08434460566104</c:v>
                </c:pt>
                <c:pt idx="32">
                  <c:v>148.29337433567699</c:v>
                </c:pt>
                <c:pt idx="33">
                  <c:v>984.93708974376796</c:v>
                </c:pt>
                <c:pt idx="34">
                  <c:v>263.53088705542399</c:v>
                </c:pt>
                <c:pt idx="35">
                  <c:v>874.23847521902997</c:v>
                </c:pt>
                <c:pt idx="36">
                  <c:v>618.15098635678203</c:v>
                </c:pt>
                <c:pt idx="37">
                  <c:v>977.33333719024904</c:v>
                </c:pt>
                <c:pt idx="38">
                  <c:v>575.82415399890101</c:v>
                </c:pt>
                <c:pt idx="39">
                  <c:v>563.07793581024305</c:v>
                </c:pt>
                <c:pt idx="40">
                  <c:v>1071.61986885388</c:v>
                </c:pt>
                <c:pt idx="41">
                  <c:v>874.23847521902997</c:v>
                </c:pt>
                <c:pt idx="42">
                  <c:v>755.04507444947399</c:v>
                </c:pt>
                <c:pt idx="43">
                  <c:v>921.78093749681796</c:v>
                </c:pt>
                <c:pt idx="44">
                  <c:v>670.19588217436103</c:v>
                </c:pt>
                <c:pt idx="45">
                  <c:v>1056.00703538946</c:v>
                </c:pt>
                <c:pt idx="46">
                  <c:v>1898.42709409296</c:v>
                </c:pt>
                <c:pt idx="47">
                  <c:v>1465.31626054398</c:v>
                </c:pt>
                <c:pt idx="48">
                  <c:v>702.86858818188898</c:v>
                </c:pt>
                <c:pt idx="49">
                  <c:v>874.23847521902997</c:v>
                </c:pt>
                <c:pt idx="50">
                  <c:v>874.23847521902997</c:v>
                </c:pt>
                <c:pt idx="51">
                  <c:v>469.82753010373199</c:v>
                </c:pt>
                <c:pt idx="52">
                  <c:v>503.03777250741501</c:v>
                </c:pt>
                <c:pt idx="53">
                  <c:v>540.90057945979402</c:v>
                </c:pt>
                <c:pt idx="54">
                  <c:v>686.76104648372802</c:v>
                </c:pt>
                <c:pt idx="55">
                  <c:v>540.90057945979402</c:v>
                </c:pt>
                <c:pt idx="56">
                  <c:v>686.76104648372802</c:v>
                </c:pt>
                <c:pt idx="57">
                  <c:v>1770.4761116084601</c:v>
                </c:pt>
                <c:pt idx="58">
                  <c:v>133.68656568036701</c:v>
                </c:pt>
                <c:pt idx="59">
                  <c:v>1071.9969516450001</c:v>
                </c:pt>
                <c:pt idx="60">
                  <c:v>1126.0708040812001</c:v>
                </c:pt>
                <c:pt idx="61">
                  <c:v>737.29915679799899</c:v>
                </c:pt>
                <c:pt idx="62">
                  <c:v>874.23847521902997</c:v>
                </c:pt>
                <c:pt idx="63">
                  <c:v>122.531860684354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91-4B4A-9FFE-D006BF74D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727551"/>
        <c:axId val="109729951"/>
      </c:lineChart>
      <c:catAx>
        <c:axId val="109727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29951"/>
        <c:crosses val="autoZero"/>
        <c:auto val="1"/>
        <c:lblAlgn val="ctr"/>
        <c:lblOffset val="100"/>
        <c:noMultiLvlLbl val="0"/>
      </c:catAx>
      <c:valAx>
        <c:axId val="10972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2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Y_test!$A$1</c:f>
              <c:strCache>
                <c:ptCount val="1"/>
                <c:pt idx="0">
                  <c:v>Y-test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Y_test!$A$2:$A$66</c:f>
              <c:numCache>
                <c:formatCode>General</c:formatCode>
                <c:ptCount val="65"/>
                <c:pt idx="0">
                  <c:v>424.48928009999997</c:v>
                </c:pt>
                <c:pt idx="1">
                  <c:v>1569.8094132000001</c:v>
                </c:pt>
                <c:pt idx="2">
                  <c:v>424.48928009999997</c:v>
                </c:pt>
                <c:pt idx="3">
                  <c:v>424.48928009999997</c:v>
                </c:pt>
                <c:pt idx="4">
                  <c:v>8.8101548699999999</c:v>
                </c:pt>
                <c:pt idx="5">
                  <c:v>640.73853599999995</c:v>
                </c:pt>
                <c:pt idx="6">
                  <c:v>480.55390199999903</c:v>
                </c:pt>
                <c:pt idx="7">
                  <c:v>1601.8463400000001</c:v>
                </c:pt>
                <c:pt idx="8">
                  <c:v>1281.4770719999899</c:v>
                </c:pt>
                <c:pt idx="9">
                  <c:v>861.15259238399904</c:v>
                </c:pt>
                <c:pt idx="10">
                  <c:v>424.00872619799901</c:v>
                </c:pt>
                <c:pt idx="11">
                  <c:v>861.15259238399904</c:v>
                </c:pt>
                <c:pt idx="12">
                  <c:v>2883.3234120000002</c:v>
                </c:pt>
                <c:pt idx="13">
                  <c:v>20.023079249999999</c:v>
                </c:pt>
                <c:pt idx="14">
                  <c:v>424.48928009999997</c:v>
                </c:pt>
                <c:pt idx="15">
                  <c:v>424.48928009999997</c:v>
                </c:pt>
                <c:pt idx="16">
                  <c:v>1922.215608</c:v>
                </c:pt>
                <c:pt idx="17">
                  <c:v>30.435080459999998</c:v>
                </c:pt>
                <c:pt idx="18">
                  <c:v>72.083085299999993</c:v>
                </c:pt>
                <c:pt idx="19">
                  <c:v>28.83323412</c:v>
                </c:pt>
                <c:pt idx="20">
                  <c:v>464.53543860000002</c:v>
                </c:pt>
                <c:pt idx="21">
                  <c:v>1121.2924379999999</c:v>
                </c:pt>
                <c:pt idx="22">
                  <c:v>608.70160920000001</c:v>
                </c:pt>
                <c:pt idx="23">
                  <c:v>32.837849970000001</c:v>
                </c:pt>
                <c:pt idx="24">
                  <c:v>2402.7695100000001</c:v>
                </c:pt>
                <c:pt idx="25">
                  <c:v>40.046158499999997</c:v>
                </c:pt>
                <c:pt idx="26">
                  <c:v>48.055390199999998</c:v>
                </c:pt>
                <c:pt idx="27">
                  <c:v>2242.5848759999999</c:v>
                </c:pt>
                <c:pt idx="28">
                  <c:v>977.12626740000098</c:v>
                </c:pt>
                <c:pt idx="29">
                  <c:v>24.82861827</c:v>
                </c:pt>
                <c:pt idx="30">
                  <c:v>480.55390199999903</c:v>
                </c:pt>
                <c:pt idx="31">
                  <c:v>720.83085300000005</c:v>
                </c:pt>
                <c:pt idx="32">
                  <c:v>656.75699940000004</c:v>
                </c:pt>
                <c:pt idx="33">
                  <c:v>977.12626740000098</c:v>
                </c:pt>
                <c:pt idx="34">
                  <c:v>400.46158500000001</c:v>
                </c:pt>
                <c:pt idx="35">
                  <c:v>424.48928009999997</c:v>
                </c:pt>
                <c:pt idx="36">
                  <c:v>400.46158500000001</c:v>
                </c:pt>
                <c:pt idx="37">
                  <c:v>977.12626739999996</c:v>
                </c:pt>
                <c:pt idx="38">
                  <c:v>352.40619479999998</c:v>
                </c:pt>
                <c:pt idx="39">
                  <c:v>352.40619479999998</c:v>
                </c:pt>
                <c:pt idx="40">
                  <c:v>528.60929220000003</c:v>
                </c:pt>
                <c:pt idx="41">
                  <c:v>424.48928009999997</c:v>
                </c:pt>
                <c:pt idx="42">
                  <c:v>26.430464610000001</c:v>
                </c:pt>
                <c:pt idx="43">
                  <c:v>961.10780399999999</c:v>
                </c:pt>
                <c:pt idx="44">
                  <c:v>480.55390199999903</c:v>
                </c:pt>
                <c:pt idx="45">
                  <c:v>1601.8463400000001</c:v>
                </c:pt>
                <c:pt idx="46">
                  <c:v>1922.215608</c:v>
                </c:pt>
                <c:pt idx="47">
                  <c:v>2306.6587295999998</c:v>
                </c:pt>
                <c:pt idx="48">
                  <c:v>32.036926800000003</c:v>
                </c:pt>
                <c:pt idx="49">
                  <c:v>424.48928009999997</c:v>
                </c:pt>
                <c:pt idx="50">
                  <c:v>424.48928009999997</c:v>
                </c:pt>
                <c:pt idx="51">
                  <c:v>60.069237749999999</c:v>
                </c:pt>
                <c:pt idx="52">
                  <c:v>320.36926799999998</c:v>
                </c:pt>
                <c:pt idx="53">
                  <c:v>1121.2924379999999</c:v>
                </c:pt>
                <c:pt idx="54">
                  <c:v>22.425848760000001</c:v>
                </c:pt>
                <c:pt idx="55">
                  <c:v>1121.2924379999999</c:v>
                </c:pt>
                <c:pt idx="56">
                  <c:v>28.032310949999999</c:v>
                </c:pt>
                <c:pt idx="57">
                  <c:v>1954.2525347999999</c:v>
                </c:pt>
                <c:pt idx="58">
                  <c:v>448.51697519999999</c:v>
                </c:pt>
                <c:pt idx="59">
                  <c:v>1281.4770719999999</c:v>
                </c:pt>
                <c:pt idx="60">
                  <c:v>1601.8463400000001</c:v>
                </c:pt>
                <c:pt idx="61">
                  <c:v>17.62030974</c:v>
                </c:pt>
                <c:pt idx="62">
                  <c:v>424.48928009999997</c:v>
                </c:pt>
                <c:pt idx="63">
                  <c:v>320.36926799999998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3-4986-AEE3-CDBCF3090475}"/>
            </c:ext>
          </c:extLst>
        </c:ser>
        <c:ser>
          <c:idx val="1"/>
          <c:order val="1"/>
          <c:tx>
            <c:strRef>
              <c:f>Y_test!$B$1</c:f>
              <c:strCache>
                <c:ptCount val="1"/>
                <c:pt idx="0">
                  <c:v>1_Linear Regression predicted_Y_for_X_test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Y_test!$B$2:$B$66</c:f>
              <c:numCache>
                <c:formatCode>General</c:formatCode>
                <c:ptCount val="65"/>
                <c:pt idx="0">
                  <c:v>339.354775520884</c:v>
                </c:pt>
                <c:pt idx="1">
                  <c:v>1184.86098217534</c:v>
                </c:pt>
                <c:pt idx="2">
                  <c:v>339.354775520884</c:v>
                </c:pt>
                <c:pt idx="3">
                  <c:v>339.354775520884</c:v>
                </c:pt>
                <c:pt idx="4">
                  <c:v>765.36039658397601</c:v>
                </c:pt>
                <c:pt idx="5">
                  <c:v>930.63535629109401</c:v>
                </c:pt>
                <c:pt idx="6">
                  <c:v>689.18841814342898</c:v>
                </c:pt>
                <c:pt idx="7">
                  <c:v>1526.8159888653299</c:v>
                </c:pt>
                <c:pt idx="8">
                  <c:v>1131.6281587143301</c:v>
                </c:pt>
                <c:pt idx="9">
                  <c:v>914.70457378638798</c:v>
                </c:pt>
                <c:pt idx="10">
                  <c:v>575.56136572734204</c:v>
                </c:pt>
                <c:pt idx="11">
                  <c:v>914.70457378638798</c:v>
                </c:pt>
                <c:pt idx="12">
                  <c:v>3372.3483209747101</c:v>
                </c:pt>
                <c:pt idx="13">
                  <c:v>649.40318405064397</c:v>
                </c:pt>
                <c:pt idx="14">
                  <c:v>339.354775520884</c:v>
                </c:pt>
                <c:pt idx="15">
                  <c:v>339.354775520884</c:v>
                </c:pt>
                <c:pt idx="16">
                  <c:v>1082.6337666066499</c:v>
                </c:pt>
                <c:pt idx="17">
                  <c:v>474.40356078235601</c:v>
                </c:pt>
                <c:pt idx="18">
                  <c:v>592.30001525781802</c:v>
                </c:pt>
                <c:pt idx="19">
                  <c:v>556.94021272639702</c:v>
                </c:pt>
                <c:pt idx="20">
                  <c:v>375.01482100232698</c:v>
                </c:pt>
                <c:pt idx="21">
                  <c:v>641.46865579334201</c:v>
                </c:pt>
                <c:pt idx="22">
                  <c:v>870.298761169312</c:v>
                </c:pt>
                <c:pt idx="23">
                  <c:v>625.81475934433399</c:v>
                </c:pt>
                <c:pt idx="24">
                  <c:v>2083.9832944213099</c:v>
                </c:pt>
                <c:pt idx="25">
                  <c:v>426.28134761924099</c:v>
                </c:pt>
                <c:pt idx="26">
                  <c:v>718.52206726340103</c:v>
                </c:pt>
                <c:pt idx="27">
                  <c:v>1521.5622830263601</c:v>
                </c:pt>
                <c:pt idx="28">
                  <c:v>946.58321930856698</c:v>
                </c:pt>
                <c:pt idx="29">
                  <c:v>748.198846249599</c:v>
                </c:pt>
                <c:pt idx="30">
                  <c:v>689.18841814342898</c:v>
                </c:pt>
                <c:pt idx="31">
                  <c:v>680.05460692632005</c:v>
                </c:pt>
                <c:pt idx="32">
                  <c:v>316.59088024426802</c:v>
                </c:pt>
                <c:pt idx="33">
                  <c:v>946.58321930856698</c:v>
                </c:pt>
                <c:pt idx="34">
                  <c:v>589.94121565576302</c:v>
                </c:pt>
                <c:pt idx="35">
                  <c:v>339.354775520884</c:v>
                </c:pt>
                <c:pt idx="36">
                  <c:v>385.90025380550099</c:v>
                </c:pt>
                <c:pt idx="37">
                  <c:v>946.58321930856698</c:v>
                </c:pt>
                <c:pt idx="38">
                  <c:v>624.26431632451704</c:v>
                </c:pt>
                <c:pt idx="39">
                  <c:v>374.53989748516</c:v>
                </c:pt>
                <c:pt idx="40">
                  <c:v>1052.4823984608299</c:v>
                </c:pt>
                <c:pt idx="41">
                  <c:v>339.354775520884</c:v>
                </c:pt>
                <c:pt idx="42">
                  <c:v>737.58234075596602</c:v>
                </c:pt>
                <c:pt idx="43">
                  <c:v>890.11725530909803</c:v>
                </c:pt>
                <c:pt idx="44">
                  <c:v>689.18841814342898</c:v>
                </c:pt>
                <c:pt idx="45">
                  <c:v>1071.3885924748199</c:v>
                </c:pt>
                <c:pt idx="46">
                  <c:v>1969.42730991087</c:v>
                </c:pt>
                <c:pt idx="47">
                  <c:v>1500.2653067815299</c:v>
                </c:pt>
                <c:pt idx="48">
                  <c:v>712.941222872597</c:v>
                </c:pt>
                <c:pt idx="49">
                  <c:v>339.354775520884</c:v>
                </c:pt>
                <c:pt idx="50">
                  <c:v>339.354775520884</c:v>
                </c:pt>
                <c:pt idx="51">
                  <c:v>572.49304555349204</c:v>
                </c:pt>
                <c:pt idx="52">
                  <c:v>384.87723837013601</c:v>
                </c:pt>
                <c:pt idx="53">
                  <c:v>641.46865579334201</c:v>
                </c:pt>
                <c:pt idx="54">
                  <c:v>705.89666379996402</c:v>
                </c:pt>
                <c:pt idx="55">
                  <c:v>641.46865579334201</c:v>
                </c:pt>
                <c:pt idx="56">
                  <c:v>705.89666379996402</c:v>
                </c:pt>
                <c:pt idx="57">
                  <c:v>1829.9471165274299</c:v>
                </c:pt>
                <c:pt idx="58">
                  <c:v>295.23169902976701</c:v>
                </c:pt>
                <c:pt idx="59">
                  <c:v>1103.11194282971</c:v>
                </c:pt>
                <c:pt idx="60">
                  <c:v>1149.7865755206401</c:v>
                </c:pt>
                <c:pt idx="61">
                  <c:v>730.81979167704299</c:v>
                </c:pt>
                <c:pt idx="62">
                  <c:v>339.354775520884</c:v>
                </c:pt>
                <c:pt idx="63">
                  <c:v>278.86856779946601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C3-4986-AEE3-CDBCF3090475}"/>
            </c:ext>
          </c:extLst>
        </c:ser>
        <c:ser>
          <c:idx val="2"/>
          <c:order val="2"/>
          <c:tx>
            <c:strRef>
              <c:f>Y_test!$E$1</c:f>
              <c:strCache>
                <c:ptCount val="1"/>
                <c:pt idx="0">
                  <c:v>2_RidgeRegression_Y_for_X_test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Y_test!$E$2:$E$66</c:f>
              <c:numCache>
                <c:formatCode>General</c:formatCode>
                <c:ptCount val="65"/>
                <c:pt idx="0">
                  <c:v>874.23847521902997</c:v>
                </c:pt>
                <c:pt idx="1">
                  <c:v>1176.5622049058099</c:v>
                </c:pt>
                <c:pt idx="2">
                  <c:v>874.23847521902997</c:v>
                </c:pt>
                <c:pt idx="3">
                  <c:v>874.23847521902997</c:v>
                </c:pt>
                <c:pt idx="4">
                  <c:v>806.64445145058403</c:v>
                </c:pt>
                <c:pt idx="5">
                  <c:v>946.79107935570198</c:v>
                </c:pt>
                <c:pt idx="6">
                  <c:v>670.19588217436103</c:v>
                </c:pt>
                <c:pt idx="7">
                  <c:v>1498.42300028819</c:v>
                </c:pt>
                <c:pt idx="8">
                  <c:v>1020.19367416149</c:v>
                </c:pt>
                <c:pt idx="9">
                  <c:v>927.50237530036395</c:v>
                </c:pt>
                <c:pt idx="10">
                  <c:v>529.93953968429298</c:v>
                </c:pt>
                <c:pt idx="11">
                  <c:v>927.50237530036395</c:v>
                </c:pt>
                <c:pt idx="12">
                  <c:v>3123.4374056881302</c:v>
                </c:pt>
                <c:pt idx="13">
                  <c:v>598.67420803909295</c:v>
                </c:pt>
                <c:pt idx="14">
                  <c:v>874.23847521902997</c:v>
                </c:pt>
                <c:pt idx="15">
                  <c:v>527.44116376483896</c:v>
                </c:pt>
                <c:pt idx="16">
                  <c:v>1056.81582357139</c:v>
                </c:pt>
                <c:pt idx="17">
                  <c:v>416.96996477698201</c:v>
                </c:pt>
                <c:pt idx="18">
                  <c:v>500.40423754673799</c:v>
                </c:pt>
                <c:pt idx="19">
                  <c:v>505.934803919579</c:v>
                </c:pt>
                <c:pt idx="20">
                  <c:v>134.26445087443599</c:v>
                </c:pt>
                <c:pt idx="21">
                  <c:v>540.90057945979402</c:v>
                </c:pt>
                <c:pt idx="22">
                  <c:v>948.028473722802</c:v>
                </c:pt>
                <c:pt idx="23">
                  <c:v>570.61387724736505</c:v>
                </c:pt>
                <c:pt idx="24">
                  <c:v>1975.6399397878299</c:v>
                </c:pt>
                <c:pt idx="25">
                  <c:v>361.47839735634398</c:v>
                </c:pt>
                <c:pt idx="26">
                  <c:v>711.80718755389205</c:v>
                </c:pt>
                <c:pt idx="27">
                  <c:v>1480.4457883064999</c:v>
                </c:pt>
                <c:pt idx="28">
                  <c:v>984.93708974376796</c:v>
                </c:pt>
                <c:pt idx="29">
                  <c:v>784.80942174078302</c:v>
                </c:pt>
                <c:pt idx="30">
                  <c:v>670.19588217436103</c:v>
                </c:pt>
                <c:pt idx="31">
                  <c:v>615.08434460566104</c:v>
                </c:pt>
                <c:pt idx="32">
                  <c:v>148.29337433567699</c:v>
                </c:pt>
                <c:pt idx="33">
                  <c:v>984.93708974376796</c:v>
                </c:pt>
                <c:pt idx="34">
                  <c:v>263.53088705542399</c:v>
                </c:pt>
                <c:pt idx="35">
                  <c:v>874.23847521902997</c:v>
                </c:pt>
                <c:pt idx="36">
                  <c:v>618.15098635678203</c:v>
                </c:pt>
                <c:pt idx="37">
                  <c:v>977.33333719024904</c:v>
                </c:pt>
                <c:pt idx="38">
                  <c:v>575.82415399890101</c:v>
                </c:pt>
                <c:pt idx="39">
                  <c:v>563.07793581024305</c:v>
                </c:pt>
                <c:pt idx="40">
                  <c:v>1071.61986885388</c:v>
                </c:pt>
                <c:pt idx="41">
                  <c:v>874.23847521902997</c:v>
                </c:pt>
                <c:pt idx="42">
                  <c:v>755.04507444947399</c:v>
                </c:pt>
                <c:pt idx="43">
                  <c:v>921.78093749681796</c:v>
                </c:pt>
                <c:pt idx="44">
                  <c:v>670.19588217436103</c:v>
                </c:pt>
                <c:pt idx="45">
                  <c:v>1056.00703538946</c:v>
                </c:pt>
                <c:pt idx="46">
                  <c:v>1898.42709409296</c:v>
                </c:pt>
                <c:pt idx="47">
                  <c:v>1465.31626054398</c:v>
                </c:pt>
                <c:pt idx="48">
                  <c:v>702.86858818188898</c:v>
                </c:pt>
                <c:pt idx="49">
                  <c:v>874.23847521902997</c:v>
                </c:pt>
                <c:pt idx="50">
                  <c:v>874.23847521902997</c:v>
                </c:pt>
                <c:pt idx="51">
                  <c:v>469.82753010373199</c:v>
                </c:pt>
                <c:pt idx="52">
                  <c:v>503.03777250741501</c:v>
                </c:pt>
                <c:pt idx="53">
                  <c:v>540.90057945979402</c:v>
                </c:pt>
                <c:pt idx="54">
                  <c:v>686.76104648372802</c:v>
                </c:pt>
                <c:pt idx="55">
                  <c:v>540.90057945979402</c:v>
                </c:pt>
                <c:pt idx="56">
                  <c:v>686.76104648372802</c:v>
                </c:pt>
                <c:pt idx="57">
                  <c:v>1770.4761116084601</c:v>
                </c:pt>
                <c:pt idx="58">
                  <c:v>133.68656568036701</c:v>
                </c:pt>
                <c:pt idx="59">
                  <c:v>1071.9969516450001</c:v>
                </c:pt>
                <c:pt idx="60">
                  <c:v>1126.0708040812001</c:v>
                </c:pt>
                <c:pt idx="61">
                  <c:v>737.29915679799899</c:v>
                </c:pt>
                <c:pt idx="62">
                  <c:v>874.23847521902997</c:v>
                </c:pt>
                <c:pt idx="63">
                  <c:v>122.531860684354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C3-4986-AEE3-CDBCF3090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730431"/>
        <c:axId val="109729471"/>
      </c:lineChart>
      <c:catAx>
        <c:axId val="109730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29471"/>
        <c:crosses val="autoZero"/>
        <c:auto val="1"/>
        <c:lblAlgn val="ctr"/>
        <c:lblOffset val="100"/>
        <c:noMultiLvlLbl val="0"/>
      </c:catAx>
      <c:valAx>
        <c:axId val="10972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308527712725493E-2"/>
          <c:y val="6.7451302694083518E-2"/>
          <c:w val="0.95263881252970528"/>
          <c:h val="0.84029402661011965"/>
        </c:manualLayout>
      </c:layout>
      <c:lineChart>
        <c:grouping val="standard"/>
        <c:varyColors val="0"/>
        <c:ser>
          <c:idx val="0"/>
          <c:order val="0"/>
          <c:tx>
            <c:strRef>
              <c:f>Y_test!$A$1</c:f>
              <c:strCache>
                <c:ptCount val="1"/>
                <c:pt idx="0">
                  <c:v>Y-test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Y_test!$A$2:$A$66</c:f>
              <c:numCache>
                <c:formatCode>General</c:formatCode>
                <c:ptCount val="65"/>
                <c:pt idx="0">
                  <c:v>424.48928009999997</c:v>
                </c:pt>
                <c:pt idx="1">
                  <c:v>1569.8094132000001</c:v>
                </c:pt>
                <c:pt idx="2">
                  <c:v>424.48928009999997</c:v>
                </c:pt>
                <c:pt idx="3">
                  <c:v>424.48928009999997</c:v>
                </c:pt>
                <c:pt idx="4">
                  <c:v>8.8101548699999999</c:v>
                </c:pt>
                <c:pt idx="5">
                  <c:v>640.73853599999995</c:v>
                </c:pt>
                <c:pt idx="6">
                  <c:v>480.55390199999903</c:v>
                </c:pt>
                <c:pt idx="7">
                  <c:v>1601.8463400000001</c:v>
                </c:pt>
                <c:pt idx="8">
                  <c:v>1281.4770719999899</c:v>
                </c:pt>
                <c:pt idx="9">
                  <c:v>861.15259238399904</c:v>
                </c:pt>
                <c:pt idx="10">
                  <c:v>424.00872619799901</c:v>
                </c:pt>
                <c:pt idx="11">
                  <c:v>861.15259238399904</c:v>
                </c:pt>
                <c:pt idx="12">
                  <c:v>2883.3234120000002</c:v>
                </c:pt>
                <c:pt idx="13">
                  <c:v>20.023079249999999</c:v>
                </c:pt>
                <c:pt idx="14">
                  <c:v>424.48928009999997</c:v>
                </c:pt>
                <c:pt idx="15">
                  <c:v>424.48928009999997</c:v>
                </c:pt>
                <c:pt idx="16">
                  <c:v>1922.215608</c:v>
                </c:pt>
                <c:pt idx="17">
                  <c:v>30.435080459999998</c:v>
                </c:pt>
                <c:pt idx="18">
                  <c:v>72.083085299999993</c:v>
                </c:pt>
                <c:pt idx="19">
                  <c:v>28.83323412</c:v>
                </c:pt>
                <c:pt idx="20">
                  <c:v>464.53543860000002</c:v>
                </c:pt>
                <c:pt idx="21">
                  <c:v>1121.2924379999999</c:v>
                </c:pt>
                <c:pt idx="22">
                  <c:v>608.70160920000001</c:v>
                </c:pt>
                <c:pt idx="23">
                  <c:v>32.837849970000001</c:v>
                </c:pt>
                <c:pt idx="24">
                  <c:v>2402.7695100000001</c:v>
                </c:pt>
                <c:pt idx="25">
                  <c:v>40.046158499999997</c:v>
                </c:pt>
                <c:pt idx="26">
                  <c:v>48.055390199999998</c:v>
                </c:pt>
                <c:pt idx="27">
                  <c:v>2242.5848759999999</c:v>
                </c:pt>
                <c:pt idx="28">
                  <c:v>977.12626740000098</c:v>
                </c:pt>
                <c:pt idx="29">
                  <c:v>24.82861827</c:v>
                </c:pt>
                <c:pt idx="30">
                  <c:v>480.55390199999903</c:v>
                </c:pt>
                <c:pt idx="31">
                  <c:v>720.83085300000005</c:v>
                </c:pt>
                <c:pt idx="32">
                  <c:v>656.75699940000004</c:v>
                </c:pt>
                <c:pt idx="33">
                  <c:v>977.12626740000098</c:v>
                </c:pt>
                <c:pt idx="34">
                  <c:v>400.46158500000001</c:v>
                </c:pt>
                <c:pt idx="35">
                  <c:v>424.48928009999997</c:v>
                </c:pt>
                <c:pt idx="36">
                  <c:v>400.46158500000001</c:v>
                </c:pt>
                <c:pt idx="37">
                  <c:v>977.12626739999996</c:v>
                </c:pt>
                <c:pt idx="38">
                  <c:v>352.40619479999998</c:v>
                </c:pt>
                <c:pt idx="39">
                  <c:v>352.40619479999998</c:v>
                </c:pt>
                <c:pt idx="40">
                  <c:v>528.60929220000003</c:v>
                </c:pt>
                <c:pt idx="41">
                  <c:v>424.48928009999997</c:v>
                </c:pt>
                <c:pt idx="42">
                  <c:v>26.430464610000001</c:v>
                </c:pt>
                <c:pt idx="43">
                  <c:v>961.10780399999999</c:v>
                </c:pt>
                <c:pt idx="44">
                  <c:v>480.55390199999903</c:v>
                </c:pt>
                <c:pt idx="45">
                  <c:v>1601.8463400000001</c:v>
                </c:pt>
                <c:pt idx="46">
                  <c:v>1922.215608</c:v>
                </c:pt>
                <c:pt idx="47">
                  <c:v>2306.6587295999998</c:v>
                </c:pt>
                <c:pt idx="48">
                  <c:v>32.036926800000003</c:v>
                </c:pt>
                <c:pt idx="49">
                  <c:v>424.48928009999997</c:v>
                </c:pt>
                <c:pt idx="50">
                  <c:v>424.48928009999997</c:v>
                </c:pt>
                <c:pt idx="51">
                  <c:v>60.069237749999999</c:v>
                </c:pt>
                <c:pt idx="52">
                  <c:v>320.36926799999998</c:v>
                </c:pt>
                <c:pt idx="53">
                  <c:v>1121.2924379999999</c:v>
                </c:pt>
                <c:pt idx="54">
                  <c:v>22.425848760000001</c:v>
                </c:pt>
                <c:pt idx="55">
                  <c:v>1121.2924379999999</c:v>
                </c:pt>
                <c:pt idx="56">
                  <c:v>28.032310949999999</c:v>
                </c:pt>
                <c:pt idx="57">
                  <c:v>1954.2525347999999</c:v>
                </c:pt>
                <c:pt idx="58">
                  <c:v>448.51697519999999</c:v>
                </c:pt>
                <c:pt idx="59">
                  <c:v>1281.4770719999999</c:v>
                </c:pt>
                <c:pt idx="60">
                  <c:v>1601.8463400000001</c:v>
                </c:pt>
                <c:pt idx="61">
                  <c:v>17.62030974</c:v>
                </c:pt>
                <c:pt idx="62">
                  <c:v>424.48928009999997</c:v>
                </c:pt>
                <c:pt idx="63">
                  <c:v>320.36926799999998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D-44C0-B382-7F890B2E0BAF}"/>
            </c:ext>
          </c:extLst>
        </c:ser>
        <c:ser>
          <c:idx val="1"/>
          <c:order val="1"/>
          <c:tx>
            <c:strRef>
              <c:f>Y_test!$B$1</c:f>
              <c:strCache>
                <c:ptCount val="1"/>
                <c:pt idx="0">
                  <c:v>1_Linear Regression predicted_Y_for_X_test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Y_test!$B$2:$B$66</c:f>
              <c:numCache>
                <c:formatCode>General</c:formatCode>
                <c:ptCount val="65"/>
                <c:pt idx="0">
                  <c:v>339.354775520884</c:v>
                </c:pt>
                <c:pt idx="1">
                  <c:v>1184.86098217534</c:v>
                </c:pt>
                <c:pt idx="2">
                  <c:v>339.354775520884</c:v>
                </c:pt>
                <c:pt idx="3">
                  <c:v>339.354775520884</c:v>
                </c:pt>
                <c:pt idx="4">
                  <c:v>765.36039658397601</c:v>
                </c:pt>
                <c:pt idx="5">
                  <c:v>930.63535629109401</c:v>
                </c:pt>
                <c:pt idx="6">
                  <c:v>689.18841814342898</c:v>
                </c:pt>
                <c:pt idx="7">
                  <c:v>1526.8159888653299</c:v>
                </c:pt>
                <c:pt idx="8">
                  <c:v>1131.6281587143301</c:v>
                </c:pt>
                <c:pt idx="9">
                  <c:v>914.70457378638798</c:v>
                </c:pt>
                <c:pt idx="10">
                  <c:v>575.56136572734204</c:v>
                </c:pt>
                <c:pt idx="11">
                  <c:v>914.70457378638798</c:v>
                </c:pt>
                <c:pt idx="12">
                  <c:v>3372.3483209747101</c:v>
                </c:pt>
                <c:pt idx="13">
                  <c:v>649.40318405064397</c:v>
                </c:pt>
                <c:pt idx="14">
                  <c:v>339.354775520884</c:v>
                </c:pt>
                <c:pt idx="15">
                  <c:v>339.354775520884</c:v>
                </c:pt>
                <c:pt idx="16">
                  <c:v>1082.6337666066499</c:v>
                </c:pt>
                <c:pt idx="17">
                  <c:v>474.40356078235601</c:v>
                </c:pt>
                <c:pt idx="18">
                  <c:v>592.30001525781802</c:v>
                </c:pt>
                <c:pt idx="19">
                  <c:v>556.94021272639702</c:v>
                </c:pt>
                <c:pt idx="20">
                  <c:v>375.01482100232698</c:v>
                </c:pt>
                <c:pt idx="21">
                  <c:v>641.46865579334201</c:v>
                </c:pt>
                <c:pt idx="22">
                  <c:v>870.298761169312</c:v>
                </c:pt>
                <c:pt idx="23">
                  <c:v>625.81475934433399</c:v>
                </c:pt>
                <c:pt idx="24">
                  <c:v>2083.9832944213099</c:v>
                </c:pt>
                <c:pt idx="25">
                  <c:v>426.28134761924099</c:v>
                </c:pt>
                <c:pt idx="26">
                  <c:v>718.52206726340103</c:v>
                </c:pt>
                <c:pt idx="27">
                  <c:v>1521.5622830263601</c:v>
                </c:pt>
                <c:pt idx="28">
                  <c:v>946.58321930856698</c:v>
                </c:pt>
                <c:pt idx="29">
                  <c:v>748.198846249599</c:v>
                </c:pt>
                <c:pt idx="30">
                  <c:v>689.18841814342898</c:v>
                </c:pt>
                <c:pt idx="31">
                  <c:v>680.05460692632005</c:v>
                </c:pt>
                <c:pt idx="32">
                  <c:v>316.59088024426802</c:v>
                </c:pt>
                <c:pt idx="33">
                  <c:v>946.58321930856698</c:v>
                </c:pt>
                <c:pt idx="34">
                  <c:v>589.94121565576302</c:v>
                </c:pt>
                <c:pt idx="35">
                  <c:v>339.354775520884</c:v>
                </c:pt>
                <c:pt idx="36">
                  <c:v>385.90025380550099</c:v>
                </c:pt>
                <c:pt idx="37">
                  <c:v>946.58321930856698</c:v>
                </c:pt>
                <c:pt idx="38">
                  <c:v>624.26431632451704</c:v>
                </c:pt>
                <c:pt idx="39">
                  <c:v>374.53989748516</c:v>
                </c:pt>
                <c:pt idx="40">
                  <c:v>1052.4823984608299</c:v>
                </c:pt>
                <c:pt idx="41">
                  <c:v>339.354775520884</c:v>
                </c:pt>
                <c:pt idx="42">
                  <c:v>737.58234075596602</c:v>
                </c:pt>
                <c:pt idx="43">
                  <c:v>890.11725530909803</c:v>
                </c:pt>
                <c:pt idx="44">
                  <c:v>689.18841814342898</c:v>
                </c:pt>
                <c:pt idx="45">
                  <c:v>1071.3885924748199</c:v>
                </c:pt>
                <c:pt idx="46">
                  <c:v>1969.42730991087</c:v>
                </c:pt>
                <c:pt idx="47">
                  <c:v>1500.2653067815299</c:v>
                </c:pt>
                <c:pt idx="48">
                  <c:v>712.941222872597</c:v>
                </c:pt>
                <c:pt idx="49">
                  <c:v>339.354775520884</c:v>
                </c:pt>
                <c:pt idx="50">
                  <c:v>339.354775520884</c:v>
                </c:pt>
                <c:pt idx="51">
                  <c:v>572.49304555349204</c:v>
                </c:pt>
                <c:pt idx="52">
                  <c:v>384.87723837013601</c:v>
                </c:pt>
                <c:pt idx="53">
                  <c:v>641.46865579334201</c:v>
                </c:pt>
                <c:pt idx="54">
                  <c:v>705.89666379996402</c:v>
                </c:pt>
                <c:pt idx="55">
                  <c:v>641.46865579334201</c:v>
                </c:pt>
                <c:pt idx="56">
                  <c:v>705.89666379996402</c:v>
                </c:pt>
                <c:pt idx="57">
                  <c:v>1829.9471165274299</c:v>
                </c:pt>
                <c:pt idx="58">
                  <c:v>295.23169902976701</c:v>
                </c:pt>
                <c:pt idx="59">
                  <c:v>1103.11194282971</c:v>
                </c:pt>
                <c:pt idx="60">
                  <c:v>1149.7865755206401</c:v>
                </c:pt>
                <c:pt idx="61">
                  <c:v>730.81979167704299</c:v>
                </c:pt>
                <c:pt idx="62">
                  <c:v>339.354775520884</c:v>
                </c:pt>
                <c:pt idx="63">
                  <c:v>278.86856779946601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D-44C0-B382-7F890B2E0BAF}"/>
            </c:ext>
          </c:extLst>
        </c:ser>
        <c:ser>
          <c:idx val="2"/>
          <c:order val="2"/>
          <c:tx>
            <c:strRef>
              <c:f>Y_test!$E$1</c:f>
              <c:strCache>
                <c:ptCount val="1"/>
                <c:pt idx="0">
                  <c:v>2_RidgeRegression_Y_for_X_test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Y_test!$F$2:$F$66</c:f>
              <c:numCache>
                <c:formatCode>General</c:formatCode>
                <c:ptCount val="65"/>
                <c:pt idx="0">
                  <c:v>319.04511147981799</c:v>
                </c:pt>
                <c:pt idx="1">
                  <c:v>1162.1976407966099</c:v>
                </c:pt>
                <c:pt idx="2">
                  <c:v>319.04511147981799</c:v>
                </c:pt>
                <c:pt idx="3">
                  <c:v>319.04511147981799</c:v>
                </c:pt>
                <c:pt idx="4">
                  <c:v>774.49358779158899</c:v>
                </c:pt>
                <c:pt idx="5">
                  <c:v>924.80216128679399</c:v>
                </c:pt>
                <c:pt idx="6">
                  <c:v>710.32076305672399</c:v>
                </c:pt>
                <c:pt idx="7">
                  <c:v>1482.1817753728899</c:v>
                </c:pt>
                <c:pt idx="8">
                  <c:v>1685.7393711724901</c:v>
                </c:pt>
                <c:pt idx="9">
                  <c:v>913.91036467930996</c:v>
                </c:pt>
                <c:pt idx="10">
                  <c:v>567.40653853689503</c:v>
                </c:pt>
                <c:pt idx="11">
                  <c:v>913.91036467930996</c:v>
                </c:pt>
                <c:pt idx="12">
                  <c:v>3154.9414899272101</c:v>
                </c:pt>
                <c:pt idx="13">
                  <c:v>671.00118181797802</c:v>
                </c:pt>
                <c:pt idx="14">
                  <c:v>319.04511147981799</c:v>
                </c:pt>
                <c:pt idx="15">
                  <c:v>519.95831321490198</c:v>
                </c:pt>
                <c:pt idx="16">
                  <c:v>1058.5601904695</c:v>
                </c:pt>
                <c:pt idx="17">
                  <c:v>465.25066698004503</c:v>
                </c:pt>
                <c:pt idx="18">
                  <c:v>563.54553329103601</c:v>
                </c:pt>
                <c:pt idx="19">
                  <c:v>538.77707574749604</c:v>
                </c:pt>
                <c:pt idx="20">
                  <c:v>254.97309682679901</c:v>
                </c:pt>
                <c:pt idx="21">
                  <c:v>623.66733477304899</c:v>
                </c:pt>
                <c:pt idx="22">
                  <c:v>933.76110302091001</c:v>
                </c:pt>
                <c:pt idx="23">
                  <c:v>633.35142246794601</c:v>
                </c:pt>
                <c:pt idx="24">
                  <c:v>1982.9227918563099</c:v>
                </c:pt>
                <c:pt idx="25">
                  <c:v>418.53437479276198</c:v>
                </c:pt>
                <c:pt idx="26">
                  <c:v>718.523121317304</c:v>
                </c:pt>
                <c:pt idx="27">
                  <c:v>1471.9851072988999</c:v>
                </c:pt>
                <c:pt idx="28">
                  <c:v>978.36559831879697</c:v>
                </c:pt>
                <c:pt idx="29">
                  <c:v>765.803195161487</c:v>
                </c:pt>
                <c:pt idx="30">
                  <c:v>710.32076305672399</c:v>
                </c:pt>
                <c:pt idx="31">
                  <c:v>659.65332101398099</c:v>
                </c:pt>
                <c:pt idx="32">
                  <c:v>270.95704844151101</c:v>
                </c:pt>
                <c:pt idx="33">
                  <c:v>978.36559831879697</c:v>
                </c:pt>
                <c:pt idx="34">
                  <c:v>319.04511147981799</c:v>
                </c:pt>
                <c:pt idx="35">
                  <c:v>319.04511147981799</c:v>
                </c:pt>
                <c:pt idx="36">
                  <c:v>656.93209133876599</c:v>
                </c:pt>
                <c:pt idx="37">
                  <c:v>950.32289924463396</c:v>
                </c:pt>
                <c:pt idx="38">
                  <c:v>612.73041969689802</c:v>
                </c:pt>
                <c:pt idx="39">
                  <c:v>637.80989837473101</c:v>
                </c:pt>
                <c:pt idx="40">
                  <c:v>1046.91441827786</c:v>
                </c:pt>
                <c:pt idx="41">
                  <c:v>319.04511147981799</c:v>
                </c:pt>
                <c:pt idx="42">
                  <c:v>755.44728370190796</c:v>
                </c:pt>
                <c:pt idx="43">
                  <c:v>828.38028024272705</c:v>
                </c:pt>
                <c:pt idx="44">
                  <c:v>710.32076305672399</c:v>
                </c:pt>
                <c:pt idx="45">
                  <c:v>1031.6785966191801</c:v>
                </c:pt>
                <c:pt idx="46">
                  <c:v>1887.23135711278</c:v>
                </c:pt>
                <c:pt idx="47">
                  <c:v>1455.3449753438499</c:v>
                </c:pt>
                <c:pt idx="48">
                  <c:v>715.70249841750501</c:v>
                </c:pt>
                <c:pt idx="49">
                  <c:v>319.04511147981799</c:v>
                </c:pt>
                <c:pt idx="50">
                  <c:v>319.04511147981799</c:v>
                </c:pt>
                <c:pt idx="51">
                  <c:v>538.65614291992404</c:v>
                </c:pt>
                <c:pt idx="52">
                  <c:v>546.68336066854397</c:v>
                </c:pt>
                <c:pt idx="53">
                  <c:v>623.66733477304899</c:v>
                </c:pt>
                <c:pt idx="54">
                  <c:v>709.69845413519499</c:v>
                </c:pt>
                <c:pt idx="55">
                  <c:v>623.66733477304899</c:v>
                </c:pt>
                <c:pt idx="56">
                  <c:v>709.69845413519499</c:v>
                </c:pt>
                <c:pt idx="57">
                  <c:v>1760.68308365855</c:v>
                </c:pt>
                <c:pt idx="58">
                  <c:v>253.040879588574</c:v>
                </c:pt>
                <c:pt idx="59">
                  <c:v>1044.4656490469699</c:v>
                </c:pt>
                <c:pt idx="60">
                  <c:v>1116.3704754985699</c:v>
                </c:pt>
                <c:pt idx="61">
                  <c:v>742.16315823939601</c:v>
                </c:pt>
                <c:pt idx="62">
                  <c:v>319.04511147981799</c:v>
                </c:pt>
                <c:pt idx="63">
                  <c:v>242.197702613231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5D-44C0-B382-7F890B2E0BAF}"/>
            </c:ext>
          </c:extLst>
        </c:ser>
        <c:ser>
          <c:idx val="3"/>
          <c:order val="3"/>
          <c:tx>
            <c:strRef>
              <c:f>Y_test!$H$1</c:f>
              <c:strCache>
                <c:ptCount val="1"/>
                <c:pt idx="0">
                  <c:v>3_KernelRidge Regression predicted_Y_for_X_test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Y_test!$H$2:$H$66</c:f>
              <c:numCache>
                <c:formatCode>General</c:formatCode>
                <c:ptCount val="65"/>
                <c:pt idx="0">
                  <c:v>591.216796875</c:v>
                </c:pt>
                <c:pt idx="1">
                  <c:v>908.8076171875</c:v>
                </c:pt>
                <c:pt idx="2">
                  <c:v>591.216796875</c:v>
                </c:pt>
                <c:pt idx="3">
                  <c:v>591.216796875</c:v>
                </c:pt>
                <c:pt idx="4">
                  <c:v>484.4462890625</c:v>
                </c:pt>
                <c:pt idx="5">
                  <c:v>553.3037109375</c:v>
                </c:pt>
                <c:pt idx="6">
                  <c:v>603.158203125</c:v>
                </c:pt>
                <c:pt idx="7">
                  <c:v>1290.259765625</c:v>
                </c:pt>
                <c:pt idx="8">
                  <c:v>530.6181640625</c:v>
                </c:pt>
                <c:pt idx="9">
                  <c:v>590.783203125</c:v>
                </c:pt>
                <c:pt idx="10">
                  <c:v>724.783203125</c:v>
                </c:pt>
                <c:pt idx="11">
                  <c:v>590.783203125</c:v>
                </c:pt>
                <c:pt idx="12">
                  <c:v>3830.27734375</c:v>
                </c:pt>
                <c:pt idx="13">
                  <c:v>595.451171875</c:v>
                </c:pt>
                <c:pt idx="14">
                  <c:v>591.216796875</c:v>
                </c:pt>
                <c:pt idx="15">
                  <c:v>725.69140625</c:v>
                </c:pt>
                <c:pt idx="16">
                  <c:v>917.7294921875</c:v>
                </c:pt>
                <c:pt idx="17">
                  <c:v>700.04296875</c:v>
                </c:pt>
                <c:pt idx="18">
                  <c:v>653.8837890625</c:v>
                </c:pt>
                <c:pt idx="19">
                  <c:v>648.8955078125</c:v>
                </c:pt>
                <c:pt idx="20">
                  <c:v>928.05078125</c:v>
                </c:pt>
                <c:pt idx="21">
                  <c:v>874.091796875</c:v>
                </c:pt>
                <c:pt idx="22">
                  <c:v>553.8330078125</c:v>
                </c:pt>
                <c:pt idx="23">
                  <c:v>611.794921875</c:v>
                </c:pt>
                <c:pt idx="24">
                  <c:v>2122.7880859375</c:v>
                </c:pt>
                <c:pt idx="25">
                  <c:v>732.341796875</c:v>
                </c:pt>
                <c:pt idx="26">
                  <c:v>532.751953125</c:v>
                </c:pt>
                <c:pt idx="27">
                  <c:v>1333.3603515625</c:v>
                </c:pt>
                <c:pt idx="28">
                  <c:v>544.1298828125</c:v>
                </c:pt>
                <c:pt idx="29">
                  <c:v>496.1787109375</c:v>
                </c:pt>
                <c:pt idx="30">
                  <c:v>603.158203125</c:v>
                </c:pt>
                <c:pt idx="31">
                  <c:v>786.1533203125</c:v>
                </c:pt>
                <c:pt idx="32">
                  <c:v>949.115234375</c:v>
                </c:pt>
                <c:pt idx="33">
                  <c:v>544.1298828125</c:v>
                </c:pt>
                <c:pt idx="34">
                  <c:v>848.384765625</c:v>
                </c:pt>
                <c:pt idx="35">
                  <c:v>591.216796875</c:v>
                </c:pt>
                <c:pt idx="36">
                  <c:v>687.1259765625</c:v>
                </c:pt>
                <c:pt idx="37">
                  <c:v>532.7177734375</c:v>
                </c:pt>
                <c:pt idx="38">
                  <c:v>660.7958984375</c:v>
                </c:pt>
                <c:pt idx="39">
                  <c:v>712.74609375</c:v>
                </c:pt>
                <c:pt idx="40">
                  <c:v>674.232421875</c:v>
                </c:pt>
                <c:pt idx="41">
                  <c:v>591.216796875</c:v>
                </c:pt>
                <c:pt idx="42">
                  <c:v>511.9580078125</c:v>
                </c:pt>
                <c:pt idx="43">
                  <c:v>695.1240234375</c:v>
                </c:pt>
                <c:pt idx="44">
                  <c:v>603.158203125</c:v>
                </c:pt>
                <c:pt idx="45">
                  <c:v>754.4296875</c:v>
                </c:pt>
                <c:pt idx="46">
                  <c:v>1848.7900390625</c:v>
                </c:pt>
                <c:pt idx="47">
                  <c:v>1305.6708984375</c:v>
                </c:pt>
                <c:pt idx="48">
                  <c:v>536.6083984375</c:v>
                </c:pt>
                <c:pt idx="49">
                  <c:v>591.216796875</c:v>
                </c:pt>
                <c:pt idx="50">
                  <c:v>591.216796875</c:v>
                </c:pt>
                <c:pt idx="51">
                  <c:v>671.763671875</c:v>
                </c:pt>
                <c:pt idx="52">
                  <c:v>742.201171875</c:v>
                </c:pt>
                <c:pt idx="53">
                  <c:v>874.091796875</c:v>
                </c:pt>
                <c:pt idx="54">
                  <c:v>545.6455078125</c:v>
                </c:pt>
                <c:pt idx="55">
                  <c:v>874.091796875</c:v>
                </c:pt>
                <c:pt idx="56">
                  <c:v>545.6455078125</c:v>
                </c:pt>
                <c:pt idx="57">
                  <c:v>1670.0322265625</c:v>
                </c:pt>
                <c:pt idx="58">
                  <c:v>927.185546875</c:v>
                </c:pt>
                <c:pt idx="59">
                  <c:v>747.875</c:v>
                </c:pt>
                <c:pt idx="60">
                  <c:v>891.478515625</c:v>
                </c:pt>
                <c:pt idx="61">
                  <c:v>521.1923828125</c:v>
                </c:pt>
                <c:pt idx="62">
                  <c:v>591.216796875</c:v>
                </c:pt>
                <c:pt idx="63">
                  <c:v>910.443359375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5D-44C0-B382-7F890B2E0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58671"/>
        <c:axId val="107449711"/>
      </c:lineChart>
      <c:catAx>
        <c:axId val="146058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49711"/>
        <c:crosses val="autoZero"/>
        <c:auto val="1"/>
        <c:lblAlgn val="ctr"/>
        <c:lblOffset val="100"/>
        <c:noMultiLvlLbl val="0"/>
      </c:catAx>
      <c:valAx>
        <c:axId val="10744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85136</xdr:colOff>
      <xdr:row>5</xdr:row>
      <xdr:rowOff>105615</xdr:rowOff>
    </xdr:from>
    <xdr:to>
      <xdr:col>49</xdr:col>
      <xdr:colOff>362227</xdr:colOff>
      <xdr:row>36</xdr:row>
      <xdr:rowOff>22489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8821C8-C7F8-4A4F-6F4B-67FB276F5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375804</xdr:colOff>
      <xdr:row>6</xdr:row>
      <xdr:rowOff>42601</xdr:rowOff>
    </xdr:from>
    <xdr:to>
      <xdr:col>42</xdr:col>
      <xdr:colOff>438150</xdr:colOff>
      <xdr:row>38</xdr:row>
      <xdr:rowOff>179068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CF1130-9DCA-1767-DBCC-0F9AE56B0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64941</xdr:colOff>
      <xdr:row>5</xdr:row>
      <xdr:rowOff>152401</xdr:rowOff>
    </xdr:from>
    <xdr:to>
      <xdr:col>28</xdr:col>
      <xdr:colOff>446807</xdr:colOff>
      <xdr:row>42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68E3D33-A897-1337-C717-EAA6D323C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F0A4-1C88-4577-A890-5725959031A1}">
  <dimension ref="A1:L66"/>
  <sheetViews>
    <sheetView tabSelected="1" topLeftCell="D1" zoomScale="70" zoomScaleNormal="85" workbookViewId="0">
      <selection activeCell="K3" sqref="K3"/>
    </sheetView>
  </sheetViews>
  <sheetFormatPr defaultRowHeight="14.4" x14ac:dyDescent="0.3"/>
  <cols>
    <col min="1" max="1" width="18.88671875" style="9" customWidth="1"/>
    <col min="2" max="2" width="19.6640625" style="9" customWidth="1"/>
    <col min="3" max="5" width="19.6640625" customWidth="1"/>
    <col min="6" max="6" width="19.6640625" style="9" customWidth="1"/>
    <col min="7" max="7" width="19.6640625" customWidth="1"/>
    <col min="8" max="8" width="19.6640625" style="9" customWidth="1"/>
    <col min="11" max="11" width="13.77734375" customWidth="1"/>
    <col min="12" max="12" width="10.77734375" customWidth="1"/>
  </cols>
  <sheetData>
    <row r="1" spans="1:12" s="1" customFormat="1" ht="21" customHeight="1" x14ac:dyDescent="0.3">
      <c r="A1" s="10" t="s">
        <v>0</v>
      </c>
      <c r="B1" s="11" t="s">
        <v>3</v>
      </c>
      <c r="C1" s="2" t="s">
        <v>1</v>
      </c>
      <c r="D1" s="3" t="s">
        <v>3</v>
      </c>
      <c r="E1" s="4" t="s">
        <v>8</v>
      </c>
      <c r="F1" s="8"/>
      <c r="G1" s="4" t="s">
        <v>2</v>
      </c>
      <c r="H1" s="12" t="s">
        <v>7</v>
      </c>
      <c r="K1" s="2" t="s">
        <v>3</v>
      </c>
      <c r="L1" s="6" t="s">
        <v>4</v>
      </c>
    </row>
    <row r="2" spans="1:12" ht="17.399999999999999" customHeight="1" x14ac:dyDescent="0.3">
      <c r="A2" s="9">
        <v>424.48928009999997</v>
      </c>
      <c r="B2" s="9">
        <v>339.354775520884</v>
      </c>
      <c r="C2">
        <f>($A$2-B2)^2</f>
        <v>7247.8838699315183</v>
      </c>
      <c r="D2">
        <v>854.83468178123803</v>
      </c>
      <c r="E2">
        <v>874.23847521902997</v>
      </c>
      <c r="F2" s="9">
        <v>319.04511147981799</v>
      </c>
      <c r="G2" s="13">
        <f>($A$2-E2)^2</f>
        <v>202274.33851021531</v>
      </c>
      <c r="H2" s="9">
        <v>591.216796875</v>
      </c>
      <c r="I2">
        <v>685.7177734375</v>
      </c>
      <c r="K2" s="3" t="s">
        <v>3</v>
      </c>
      <c r="L2" s="1" t="s">
        <v>5</v>
      </c>
    </row>
    <row r="3" spans="1:12" ht="18.600000000000001" customHeight="1" x14ac:dyDescent="0.3">
      <c r="A3" s="9">
        <v>1569.8094132000001</v>
      </c>
      <c r="B3" s="9">
        <v>1184.86098217534</v>
      </c>
      <c r="C3">
        <f>($A$3-B3)^2</f>
        <v>148185.29454834748</v>
      </c>
      <c r="D3">
        <v>1181.3758019418401</v>
      </c>
      <c r="E3">
        <v>1176.5622049058099</v>
      </c>
      <c r="F3" s="9">
        <v>1162.1976407966099</v>
      </c>
      <c r="G3">
        <f>(A3-E3)^2</f>
        <v>154643.36683117418</v>
      </c>
      <c r="H3" s="9">
        <v>908.8076171875</v>
      </c>
      <c r="I3">
        <v>840.0009765625</v>
      </c>
      <c r="K3" s="4" t="s">
        <v>8</v>
      </c>
      <c r="L3" s="5" t="s">
        <v>6</v>
      </c>
    </row>
    <row r="4" spans="1:12" ht="20.399999999999999" customHeight="1" x14ac:dyDescent="0.3">
      <c r="A4" s="9">
        <v>424.48928009999997</v>
      </c>
      <c r="B4" s="9">
        <v>339.354775520884</v>
      </c>
      <c r="C4">
        <f>($A$4-B4)^2</f>
        <v>7247.8838699315183</v>
      </c>
      <c r="D4">
        <v>854.83468178123803</v>
      </c>
      <c r="E4">
        <v>874.23847521902997</v>
      </c>
      <c r="F4" s="9">
        <v>319.04511147981799</v>
      </c>
      <c r="G4">
        <f t="shared" ref="G4:G65" si="0">(A4-E4)^2</f>
        <v>202274.33851021531</v>
      </c>
      <c r="H4" s="9">
        <v>591.216796875</v>
      </c>
      <c r="I4">
        <v>685.7177734375</v>
      </c>
      <c r="K4" s="7" t="s">
        <v>7</v>
      </c>
      <c r="L4" t="s">
        <v>4</v>
      </c>
    </row>
    <row r="5" spans="1:12" x14ac:dyDescent="0.3">
      <c r="A5" s="9">
        <v>424.48928009999997</v>
      </c>
      <c r="B5" s="9">
        <v>339.354775520884</v>
      </c>
      <c r="C5">
        <f>($A$5-B5)^2</f>
        <v>7247.8838699315183</v>
      </c>
      <c r="D5">
        <v>854.83468178123803</v>
      </c>
      <c r="E5">
        <v>874.23847521902997</v>
      </c>
      <c r="F5" s="9">
        <v>319.04511147981799</v>
      </c>
      <c r="G5">
        <f t="shared" si="0"/>
        <v>202274.33851021531</v>
      </c>
      <c r="H5" s="9">
        <v>591.216796875</v>
      </c>
      <c r="I5">
        <v>685.7177734375</v>
      </c>
    </row>
    <row r="6" spans="1:12" x14ac:dyDescent="0.3">
      <c r="A6" s="9">
        <v>8.8101548699999999</v>
      </c>
      <c r="B6" s="9">
        <v>765.36039658397601</v>
      </c>
      <c r="C6">
        <f>($A$6-B6)^2</f>
        <v>572368.26823747554</v>
      </c>
      <c r="D6">
        <v>778.62387235312406</v>
      </c>
      <c r="E6">
        <v>806.64445145058403</v>
      </c>
      <c r="F6" s="9">
        <v>774.49358779158899</v>
      </c>
      <c r="G6">
        <f t="shared" si="0"/>
        <v>636539.56480023533</v>
      </c>
      <c r="H6" s="9">
        <v>484.4462890625</v>
      </c>
      <c r="I6">
        <v>392.2841796875</v>
      </c>
    </row>
    <row r="7" spans="1:12" x14ac:dyDescent="0.3">
      <c r="A7" s="9">
        <v>640.73853599999995</v>
      </c>
      <c r="B7" s="9">
        <v>930.63535629109401</v>
      </c>
      <c r="C7">
        <f>($A$7-B7)^2</f>
        <v>84040.166414886888</v>
      </c>
      <c r="D7">
        <v>922.97966294076605</v>
      </c>
      <c r="E7">
        <v>946.79107935570198</v>
      </c>
      <c r="F7" s="9">
        <v>924.80216128679399</v>
      </c>
      <c r="G7">
        <f t="shared" si="0"/>
        <v>93668.159294493875</v>
      </c>
      <c r="H7" s="9">
        <v>553.3037109375</v>
      </c>
      <c r="I7">
        <v>463.36328125</v>
      </c>
    </row>
    <row r="8" spans="1:12" x14ac:dyDescent="0.3">
      <c r="A8" s="9">
        <v>480.55390199999903</v>
      </c>
      <c r="B8" s="9">
        <v>689.18841814342898</v>
      </c>
      <c r="C8">
        <f>($A$8-B8)^2</f>
        <v>43528.36132640313</v>
      </c>
      <c r="D8">
        <v>654.70987755665999</v>
      </c>
      <c r="E8">
        <v>670.19588217436103</v>
      </c>
      <c r="F8" s="9">
        <v>710.32076305672399</v>
      </c>
      <c r="G8">
        <f t="shared" si="0"/>
        <v>35964.080644453112</v>
      </c>
      <c r="H8" s="9">
        <v>603.158203125</v>
      </c>
      <c r="I8">
        <v>509.94873046875</v>
      </c>
    </row>
    <row r="9" spans="1:12" x14ac:dyDescent="0.3">
      <c r="A9" s="9">
        <v>1601.8463400000001</v>
      </c>
      <c r="B9" s="9">
        <v>1526.8159888653299</v>
      </c>
      <c r="C9">
        <f>($A$9-B9)^2</f>
        <v>5629.5535913918948</v>
      </c>
      <c r="D9">
        <v>1532.90011954344</v>
      </c>
      <c r="E9">
        <v>1498.42300028819</v>
      </c>
      <c r="F9" s="9">
        <v>1482.1817753728899</v>
      </c>
      <c r="G9">
        <f t="shared" si="0"/>
        <v>10696.387197144468</v>
      </c>
      <c r="H9" s="9">
        <v>1290.259765625</v>
      </c>
      <c r="I9">
        <v>1252.06640625</v>
      </c>
    </row>
    <row r="10" spans="1:12" x14ac:dyDescent="0.3">
      <c r="A10" s="9">
        <v>1281.4770719999899</v>
      </c>
      <c r="B10" s="9">
        <v>1131.6281587143301</v>
      </c>
      <c r="C10">
        <f>($A$10-B10)^2</f>
        <v>22454.696812893195</v>
      </c>
      <c r="D10">
        <v>993.32614985951</v>
      </c>
      <c r="E10">
        <v>1020.19367416149</v>
      </c>
      <c r="F10" s="9">
        <v>1685.7393711724901</v>
      </c>
      <c r="G10">
        <f t="shared" si="0"/>
        <v>68269.01398603183</v>
      </c>
      <c r="H10" s="9">
        <v>530.6181640625</v>
      </c>
      <c r="I10">
        <v>1534.56103515625</v>
      </c>
    </row>
    <row r="11" spans="1:12" x14ac:dyDescent="0.3">
      <c r="A11" s="9">
        <v>861.15259238399904</v>
      </c>
      <c r="B11" s="9">
        <v>914.70457378638798</v>
      </c>
      <c r="C11">
        <f>($A$11-B11)^2</f>
        <v>2867.8147121218117</v>
      </c>
      <c r="D11">
        <v>907.31615910127596</v>
      </c>
      <c r="E11">
        <v>927.50237530036395</v>
      </c>
      <c r="F11" s="9">
        <v>913.91036467930996</v>
      </c>
      <c r="G11">
        <f t="shared" si="0"/>
        <v>4402.2936930487494</v>
      </c>
      <c r="H11" s="9">
        <v>590.783203125</v>
      </c>
      <c r="I11">
        <v>500.6298828125</v>
      </c>
    </row>
    <row r="12" spans="1:12" x14ac:dyDescent="0.3">
      <c r="A12" s="9">
        <v>424.00872619799901</v>
      </c>
      <c r="B12" s="9">
        <v>575.56136572734204</v>
      </c>
      <c r="C12">
        <f>($A$12-B12)^2</f>
        <v>22968.202548310986</v>
      </c>
      <c r="D12">
        <v>527.30278644228599</v>
      </c>
      <c r="E12">
        <v>529.93953968429298</v>
      </c>
      <c r="F12" s="9">
        <v>567.40653853689503</v>
      </c>
      <c r="G12">
        <f t="shared" si="0"/>
        <v>11221.337245868001</v>
      </c>
      <c r="H12" s="9">
        <v>724.783203125</v>
      </c>
      <c r="I12">
        <v>559.166015625</v>
      </c>
    </row>
    <row r="13" spans="1:12" x14ac:dyDescent="0.3">
      <c r="A13" s="9">
        <v>861.15259238399904</v>
      </c>
      <c r="B13" s="9">
        <v>914.70457378638798</v>
      </c>
      <c r="C13">
        <f>($A$13-B13)^2</f>
        <v>2867.8147121218117</v>
      </c>
      <c r="D13">
        <v>907.31615910127596</v>
      </c>
      <c r="E13">
        <v>927.50237530036395</v>
      </c>
      <c r="F13" s="9">
        <v>913.91036467930996</v>
      </c>
      <c r="G13">
        <f t="shared" si="0"/>
        <v>4402.2936930487494</v>
      </c>
      <c r="H13" s="9">
        <v>590.783203125</v>
      </c>
      <c r="I13">
        <v>500.6298828125</v>
      </c>
    </row>
    <row r="14" spans="1:12" x14ac:dyDescent="0.3">
      <c r="A14" s="9">
        <v>2883.3234120000002</v>
      </c>
      <c r="B14" s="9">
        <v>3372.3483209747101</v>
      </c>
      <c r="C14">
        <f>($A$14-B14)^2</f>
        <v>239145.3615977233</v>
      </c>
      <c r="D14">
        <v>3362.67020926134</v>
      </c>
      <c r="E14">
        <v>3123.4374056881302</v>
      </c>
      <c r="F14" s="9">
        <v>3154.9414899272101</v>
      </c>
      <c r="G14">
        <f t="shared" si="0"/>
        <v>57654.729964863334</v>
      </c>
      <c r="H14" s="9">
        <v>3830.27734375</v>
      </c>
      <c r="I14">
        <v>3931.84130859375</v>
      </c>
    </row>
    <row r="15" spans="1:12" x14ac:dyDescent="0.3">
      <c r="A15" s="9">
        <v>20.023079249999999</v>
      </c>
      <c r="B15" s="9">
        <v>649.40318405064397</v>
      </c>
      <c r="C15">
        <f>($A$15-B15)^2</f>
        <v>396119.31631886953</v>
      </c>
      <c r="D15">
        <v>583.49669532975804</v>
      </c>
      <c r="E15">
        <v>598.67420803909295</v>
      </c>
      <c r="F15" s="9">
        <v>671.00118181797802</v>
      </c>
      <c r="G15">
        <f t="shared" si="0"/>
        <v>334837.12884889141</v>
      </c>
      <c r="H15" s="9">
        <v>595.451171875</v>
      </c>
      <c r="I15">
        <v>434.92333984375</v>
      </c>
    </row>
    <row r="16" spans="1:12" x14ac:dyDescent="0.3">
      <c r="A16" s="9">
        <v>424.48928009999997</v>
      </c>
      <c r="B16" s="9">
        <v>339.354775520884</v>
      </c>
      <c r="C16">
        <f>($A$16-B16)^2</f>
        <v>7247.8838699315183</v>
      </c>
      <c r="D16">
        <v>854.83468178123803</v>
      </c>
      <c r="E16">
        <v>874.23847521902997</v>
      </c>
      <c r="F16" s="9">
        <v>319.04511147981799</v>
      </c>
      <c r="G16">
        <f t="shared" si="0"/>
        <v>202274.33851021531</v>
      </c>
      <c r="H16" s="9">
        <v>591.216796875</v>
      </c>
      <c r="I16">
        <v>685.7177734375</v>
      </c>
    </row>
    <row r="17" spans="1:9" x14ac:dyDescent="0.3">
      <c r="A17" s="9">
        <v>424.48928009999997</v>
      </c>
      <c r="B17" s="9">
        <v>339.354775520884</v>
      </c>
      <c r="C17">
        <f>($A$17-B17)^2</f>
        <v>7247.8838699315183</v>
      </c>
      <c r="D17">
        <v>524.91989109378301</v>
      </c>
      <c r="E17">
        <v>527.44116376483896</v>
      </c>
      <c r="F17" s="9">
        <v>519.95831321490198</v>
      </c>
      <c r="G17">
        <f t="shared" si="0"/>
        <v>10599.09035013854</v>
      </c>
      <c r="H17" s="9">
        <v>725.69140625</v>
      </c>
      <c r="I17">
        <v>610.5205078125</v>
      </c>
    </row>
    <row r="18" spans="1:9" x14ac:dyDescent="0.3">
      <c r="A18" s="9">
        <v>1922.215608</v>
      </c>
      <c r="B18" s="9">
        <v>1082.6337666066499</v>
      </c>
      <c r="C18">
        <f>($A$18-B18)^2</f>
        <v>704897.66839744837</v>
      </c>
      <c r="D18">
        <v>1064.1005273205401</v>
      </c>
      <c r="E18">
        <v>1056.81582357139</v>
      </c>
      <c r="F18" s="9">
        <v>1058.5601904695</v>
      </c>
      <c r="G18">
        <f t="shared" si="0"/>
        <v>748916.78688908473</v>
      </c>
      <c r="H18" s="9">
        <v>917.7294921875</v>
      </c>
      <c r="I18">
        <v>833.14306640625</v>
      </c>
    </row>
    <row r="19" spans="1:9" x14ac:dyDescent="0.3">
      <c r="A19" s="9">
        <v>30.435080459999998</v>
      </c>
      <c r="B19" s="9">
        <v>474.40356078235601</v>
      </c>
      <c r="C19">
        <f>($A$19-B19)^2</f>
        <v>197108.01151974223</v>
      </c>
      <c r="D19">
        <v>413.694626921701</v>
      </c>
      <c r="E19">
        <v>416.96996477698201</v>
      </c>
      <c r="F19" s="9">
        <v>465.25066698004503</v>
      </c>
      <c r="G19">
        <f t="shared" si="0"/>
        <v>149409.21679394267</v>
      </c>
      <c r="H19" s="9">
        <v>700.04296875</v>
      </c>
      <c r="I19">
        <v>545.939453125</v>
      </c>
    </row>
    <row r="20" spans="1:9" x14ac:dyDescent="0.3">
      <c r="A20" s="9">
        <v>72.083085299999993</v>
      </c>
      <c r="B20" s="9">
        <v>592.30001525781802</v>
      </c>
      <c r="C20">
        <f>($A$20-B20)^2</f>
        <v>270625.65421473735</v>
      </c>
      <c r="D20">
        <v>491.83097645065698</v>
      </c>
      <c r="E20">
        <v>500.40423754673799</v>
      </c>
      <c r="F20" s="9">
        <v>563.54553329103601</v>
      </c>
      <c r="G20">
        <f t="shared" si="0"/>
        <v>183459.0094619733</v>
      </c>
      <c r="H20" s="9">
        <v>653.8837890625</v>
      </c>
      <c r="I20">
        <v>494.705078125</v>
      </c>
    </row>
    <row r="21" spans="1:9" x14ac:dyDescent="0.3">
      <c r="A21" s="9">
        <v>28.83323412</v>
      </c>
      <c r="B21" s="9">
        <v>556.94021272639702</v>
      </c>
      <c r="C21">
        <f>($A$21-B21)^2</f>
        <v>278896.98085277743</v>
      </c>
      <c r="D21">
        <v>496.837975347976</v>
      </c>
      <c r="E21">
        <v>505.934803919579</v>
      </c>
      <c r="F21" s="9">
        <v>538.77707574749604</v>
      </c>
      <c r="G21">
        <f t="shared" si="0"/>
        <v>227625.90790522256</v>
      </c>
      <c r="H21" s="9">
        <v>648.8955078125</v>
      </c>
      <c r="I21">
        <v>507.21484375</v>
      </c>
    </row>
    <row r="22" spans="1:9" x14ac:dyDescent="0.3">
      <c r="A22" s="9">
        <v>464.53543860000002</v>
      </c>
      <c r="B22" s="9">
        <v>375.01482100232698</v>
      </c>
      <c r="C22">
        <f>($A$22-B22)^2</f>
        <v>8013.9409750688073</v>
      </c>
      <c r="D22">
        <v>155.35282035488601</v>
      </c>
      <c r="E22">
        <v>134.26445087443599</v>
      </c>
      <c r="F22" s="9">
        <v>254.97309682679901</v>
      </c>
      <c r="G22">
        <f t="shared" si="0"/>
        <v>109078.92533321968</v>
      </c>
      <c r="H22" s="9">
        <v>928.05078125</v>
      </c>
      <c r="I22">
        <v>722.498046875</v>
      </c>
    </row>
    <row r="23" spans="1:9" x14ac:dyDescent="0.3">
      <c r="A23" s="9">
        <v>1121.2924379999999</v>
      </c>
      <c r="B23" s="9">
        <v>641.46865579334201</v>
      </c>
      <c r="C23">
        <f>($A$23-B23)^2</f>
        <v>230230.86197110231</v>
      </c>
      <c r="D23">
        <v>551.48056200502299</v>
      </c>
      <c r="E23">
        <v>540.90057945979402</v>
      </c>
      <c r="F23" s="9">
        <v>623.66733477304899</v>
      </c>
      <c r="G23">
        <f t="shared" si="0"/>
        <v>336854.70945975441</v>
      </c>
      <c r="H23" s="9">
        <v>874.091796875</v>
      </c>
      <c r="I23">
        <v>754.66796875</v>
      </c>
    </row>
    <row r="24" spans="1:9" x14ac:dyDescent="0.3">
      <c r="A24" s="9">
        <v>608.70160920000001</v>
      </c>
      <c r="B24" s="9">
        <v>870.298761169312</v>
      </c>
      <c r="C24">
        <f>($A$24-B24)^2</f>
        <v>68433.069918455309</v>
      </c>
      <c r="D24">
        <v>924.24712115616899</v>
      </c>
      <c r="E24">
        <v>948.028473722802</v>
      </c>
      <c r="F24" s="9">
        <v>933.76110302091001</v>
      </c>
      <c r="G24">
        <f t="shared" si="0"/>
        <v>115142.72098687603</v>
      </c>
      <c r="H24" s="9">
        <v>553.8330078125</v>
      </c>
      <c r="I24">
        <v>461.546875</v>
      </c>
    </row>
    <row r="25" spans="1:9" x14ac:dyDescent="0.3">
      <c r="A25" s="9">
        <v>32.837849970000001</v>
      </c>
      <c r="B25" s="9">
        <v>625.81475934433399</v>
      </c>
      <c r="C25">
        <f>($A$25-B25)^2</f>
        <v>351621.61505113711</v>
      </c>
      <c r="D25">
        <v>557.29132707511701</v>
      </c>
      <c r="E25">
        <v>570.61387724736505</v>
      </c>
      <c r="F25" s="9">
        <v>633.35142246794601</v>
      </c>
      <c r="G25">
        <f t="shared" si="0"/>
        <v>289203.05551422533</v>
      </c>
      <c r="H25" s="9">
        <v>611.794921875</v>
      </c>
      <c r="I25">
        <v>455.6181640625</v>
      </c>
    </row>
    <row r="26" spans="1:9" x14ac:dyDescent="0.3">
      <c r="A26" s="9">
        <v>2402.7695100000001</v>
      </c>
      <c r="B26" s="9">
        <v>2083.9832944213099</v>
      </c>
      <c r="C26">
        <f>($A$26-B26)^2</f>
        <v>101624.65124298313</v>
      </c>
      <c r="D26">
        <v>2078.00187099292</v>
      </c>
      <c r="E26">
        <v>1975.6399397878299</v>
      </c>
      <c r="F26" s="9">
        <v>1982.9227918563099</v>
      </c>
      <c r="G26">
        <f t="shared" si="0"/>
        <v>182439.66974963321</v>
      </c>
      <c r="H26" s="9">
        <v>2122.7880859375</v>
      </c>
      <c r="I26">
        <v>2122.7314453125</v>
      </c>
    </row>
    <row r="27" spans="1:9" x14ac:dyDescent="0.3">
      <c r="A27" s="9">
        <v>40.046158499999997</v>
      </c>
      <c r="B27" s="9">
        <v>426.28134761924099</v>
      </c>
      <c r="C27">
        <f>($A$27-B27)^2</f>
        <v>149177.62131397586</v>
      </c>
      <c r="D27">
        <v>361.86978567167</v>
      </c>
      <c r="E27">
        <v>361.47839735634398</v>
      </c>
      <c r="F27" s="9">
        <v>418.53437479276198</v>
      </c>
      <c r="G27">
        <f t="shared" si="0"/>
        <v>103318.68417620177</v>
      </c>
      <c r="H27" s="9">
        <v>732.341796875</v>
      </c>
      <c r="I27">
        <v>570.9912109375</v>
      </c>
    </row>
    <row r="28" spans="1:9" x14ac:dyDescent="0.3">
      <c r="A28" s="9">
        <v>48.055390199999998</v>
      </c>
      <c r="B28" s="9">
        <v>718.52206726340103</v>
      </c>
      <c r="C28">
        <f>($A$28-B28)^2</f>
        <v>449525.56505243882</v>
      </c>
      <c r="D28">
        <v>689.43618047945301</v>
      </c>
      <c r="E28">
        <v>711.80718755389205</v>
      </c>
      <c r="F28" s="9">
        <v>718.523121317304</v>
      </c>
      <c r="G28">
        <f t="shared" si="0"/>
        <v>440566.4484905221</v>
      </c>
      <c r="H28" s="9">
        <v>532.751953125</v>
      </c>
      <c r="I28">
        <v>414.36279296875</v>
      </c>
    </row>
    <row r="29" spans="1:9" x14ac:dyDescent="0.3">
      <c r="A29" s="9">
        <v>2242.5848759999999</v>
      </c>
      <c r="B29" s="9">
        <v>1521.5622830263601</v>
      </c>
      <c r="C29">
        <f>($A$29-B29)^2</f>
        <v>519873.57957843103</v>
      </c>
      <c r="D29">
        <v>1519.0332185217701</v>
      </c>
      <c r="E29">
        <v>1480.4457883064999</v>
      </c>
      <c r="F29" s="9">
        <v>1471.9851072988999</v>
      </c>
      <c r="G29">
        <f t="shared" si="0"/>
        <v>580855.98899028043</v>
      </c>
      <c r="H29" s="9">
        <v>1333.3603515625</v>
      </c>
      <c r="I29">
        <v>1290.951171875</v>
      </c>
    </row>
    <row r="30" spans="1:9" x14ac:dyDescent="0.3">
      <c r="A30" s="9">
        <v>977.12626740000098</v>
      </c>
      <c r="B30" s="9">
        <v>946.58321930856698</v>
      </c>
      <c r="C30">
        <f>($A$30-B30)^2</f>
        <v>932.87778671565025</v>
      </c>
      <c r="D30">
        <v>959.77161842100099</v>
      </c>
      <c r="E30">
        <v>984.93708974376796</v>
      </c>
      <c r="F30" s="9">
        <v>978.36559831879697</v>
      </c>
      <c r="G30">
        <f t="shared" si="0"/>
        <v>61.008945685889373</v>
      </c>
      <c r="H30" s="9">
        <v>544.1298828125</v>
      </c>
      <c r="I30">
        <v>492.24072265625</v>
      </c>
    </row>
    <row r="31" spans="1:9" x14ac:dyDescent="0.3">
      <c r="A31" s="9">
        <v>24.82861827</v>
      </c>
      <c r="B31" s="9">
        <v>748.198846249599</v>
      </c>
      <c r="C31">
        <f>($A$31-B31)^2</f>
        <v>523264.48672725703</v>
      </c>
      <c r="D31">
        <v>758.14442747302303</v>
      </c>
      <c r="E31">
        <v>784.80942174078302</v>
      </c>
      <c r="F31" s="9">
        <v>765.803195161487</v>
      </c>
      <c r="G31">
        <f t="shared" si="0"/>
        <v>577570.82164409698</v>
      </c>
      <c r="H31" s="9">
        <v>496.1787109375</v>
      </c>
      <c r="I31">
        <v>395.59912109375</v>
      </c>
    </row>
    <row r="32" spans="1:9" x14ac:dyDescent="0.3">
      <c r="A32" s="9">
        <v>480.55390199999903</v>
      </c>
      <c r="B32" s="9">
        <v>689.18841814342898</v>
      </c>
      <c r="C32">
        <f>($A$32-B32)^2</f>
        <v>43528.36132640313</v>
      </c>
      <c r="D32">
        <v>654.70987755665999</v>
      </c>
      <c r="E32">
        <v>670.19588217436103</v>
      </c>
      <c r="F32" s="9">
        <v>710.32076305672399</v>
      </c>
      <c r="G32">
        <f t="shared" si="0"/>
        <v>35964.080644453112</v>
      </c>
      <c r="H32" s="9">
        <v>603.158203125</v>
      </c>
      <c r="I32">
        <v>509.94873046875</v>
      </c>
    </row>
    <row r="33" spans="1:9" x14ac:dyDescent="0.3">
      <c r="A33" s="9">
        <v>720.83085300000005</v>
      </c>
      <c r="B33" s="9">
        <v>680.05460692632005</v>
      </c>
      <c r="C33">
        <f>($A$33-B33)^2</f>
        <v>1662.7022438613035</v>
      </c>
      <c r="D33">
        <v>616.75399982229897</v>
      </c>
      <c r="E33">
        <v>615.08434460566104</v>
      </c>
      <c r="F33" s="9">
        <v>659.65332101398099</v>
      </c>
      <c r="G33">
        <f t="shared" si="0"/>
        <v>11182.324037594009</v>
      </c>
      <c r="H33" s="9">
        <v>786.1533203125</v>
      </c>
      <c r="I33">
        <v>648.00390625</v>
      </c>
    </row>
    <row r="34" spans="1:9" x14ac:dyDescent="0.3">
      <c r="A34" s="9">
        <v>656.75699940000004</v>
      </c>
      <c r="B34" s="9">
        <v>316.59088024426802</v>
      </c>
      <c r="C34">
        <f>($A$34-B34)^2</f>
        <v>115712.98862147167</v>
      </c>
      <c r="D34">
        <v>171.07136603116601</v>
      </c>
      <c r="E34">
        <v>148.29337433567699</v>
      </c>
      <c r="F34" s="9">
        <v>270.95704844151101</v>
      </c>
      <c r="G34">
        <f t="shared" si="0"/>
        <v>258535.25801355252</v>
      </c>
      <c r="H34" s="9">
        <v>949.115234375</v>
      </c>
      <c r="I34">
        <v>749.443359375</v>
      </c>
    </row>
    <row r="35" spans="1:9" x14ac:dyDescent="0.3">
      <c r="A35" s="9">
        <v>977.12626740000098</v>
      </c>
      <c r="B35" s="9">
        <v>946.58321930856698</v>
      </c>
      <c r="C35">
        <f>($A$35-B35)^2</f>
        <v>932.87778671565025</v>
      </c>
      <c r="D35">
        <v>959.77161842100099</v>
      </c>
      <c r="E35">
        <v>984.93708974376796</v>
      </c>
      <c r="F35" s="9">
        <v>978.36559831879697</v>
      </c>
      <c r="G35">
        <f t="shared" si="0"/>
        <v>61.008945685889373</v>
      </c>
      <c r="H35" s="9">
        <v>544.1298828125</v>
      </c>
      <c r="I35">
        <v>492.24072265625</v>
      </c>
    </row>
    <row r="36" spans="1:9" x14ac:dyDescent="0.3">
      <c r="A36" s="9">
        <v>400.46158500000001</v>
      </c>
      <c r="B36" s="9">
        <v>589.94121565576302</v>
      </c>
      <c r="C36">
        <f>($A$36-B36)^2</f>
        <v>35902.530433444364</v>
      </c>
      <c r="D36">
        <v>275.680903671664</v>
      </c>
      <c r="E36">
        <v>263.53088705542399</v>
      </c>
      <c r="F36" s="9">
        <v>319.04511147981799</v>
      </c>
      <c r="G36">
        <f t="shared" si="0"/>
        <v>18750.016039588718</v>
      </c>
      <c r="H36" s="9">
        <v>848.384765625</v>
      </c>
      <c r="I36">
        <v>685.7177734375</v>
      </c>
    </row>
    <row r="37" spans="1:9" x14ac:dyDescent="0.3">
      <c r="A37" s="9">
        <v>424.48928009999997</v>
      </c>
      <c r="B37" s="9">
        <v>339.354775520884</v>
      </c>
      <c r="C37">
        <f>($A$37-B37)^2</f>
        <v>7247.8838699315183</v>
      </c>
      <c r="D37">
        <v>854.83468178123803</v>
      </c>
      <c r="E37">
        <v>874.23847521902997</v>
      </c>
      <c r="F37" s="9">
        <v>319.04511147981799</v>
      </c>
      <c r="G37">
        <f t="shared" si="0"/>
        <v>202274.33851021531</v>
      </c>
      <c r="H37" s="9">
        <v>591.216796875</v>
      </c>
      <c r="I37">
        <v>685.7177734375</v>
      </c>
    </row>
    <row r="38" spans="1:9" x14ac:dyDescent="0.3">
      <c r="A38" s="9">
        <v>400.46158500000001</v>
      </c>
      <c r="B38" s="9">
        <v>385.90025380550099</v>
      </c>
      <c r="C38">
        <f>($A$38-B38)^2</f>
        <v>212.03236615589023</v>
      </c>
      <c r="D38">
        <v>610.91063148480305</v>
      </c>
      <c r="E38">
        <v>618.15098635678203</v>
      </c>
      <c r="F38" s="9">
        <v>656.93209133876599</v>
      </c>
      <c r="G38">
        <f t="shared" si="0"/>
        <v>47388.675463074127</v>
      </c>
      <c r="H38" s="9">
        <v>687.1259765625</v>
      </c>
      <c r="I38">
        <v>549.568359375</v>
      </c>
    </row>
    <row r="39" spans="1:9" x14ac:dyDescent="0.3">
      <c r="A39" s="9">
        <v>977.12626739999996</v>
      </c>
      <c r="B39" s="9">
        <v>946.58321930856698</v>
      </c>
      <c r="C39">
        <f>($A$39-B39)^2</f>
        <v>932.87778671558772</v>
      </c>
      <c r="D39">
        <v>951.25208146908801</v>
      </c>
      <c r="E39">
        <v>977.33333719024904</v>
      </c>
      <c r="F39" s="9">
        <v>950.32289924463396</v>
      </c>
      <c r="G39">
        <f t="shared" si="0"/>
        <v>4.2877898033797671E-2</v>
      </c>
      <c r="H39" s="9">
        <v>532.7177734375</v>
      </c>
      <c r="I39">
        <v>448.7744140625</v>
      </c>
    </row>
    <row r="40" spans="1:9" x14ac:dyDescent="0.3">
      <c r="A40" s="9">
        <v>352.40619479999998</v>
      </c>
      <c r="B40" s="9">
        <v>624.26431632451704</v>
      </c>
      <c r="C40">
        <f>($A$40-B40)^2</f>
        <v>73906.838238839089</v>
      </c>
      <c r="D40">
        <v>566.81706913205403</v>
      </c>
      <c r="E40">
        <v>575.82415399890101</v>
      </c>
      <c r="F40" s="9">
        <v>612.73041969689802</v>
      </c>
      <c r="G40">
        <f t="shared" si="0"/>
        <v>49915.584492601804</v>
      </c>
      <c r="H40" s="9">
        <v>660.7958984375</v>
      </c>
      <c r="I40">
        <v>521.12353515625</v>
      </c>
    </row>
    <row r="41" spans="1:9" x14ac:dyDescent="0.3">
      <c r="A41" s="9">
        <v>352.40619479999998</v>
      </c>
      <c r="B41" s="9">
        <v>374.53989748516</v>
      </c>
      <c r="C41">
        <f>($A$41-B41)^2</f>
        <v>489.90079455505975</v>
      </c>
      <c r="D41">
        <v>558.90039937988695</v>
      </c>
      <c r="E41">
        <v>563.07793581024305</v>
      </c>
      <c r="F41" s="9">
        <v>637.80989837473101</v>
      </c>
      <c r="G41">
        <f t="shared" si="0"/>
        <v>44382.582460286932</v>
      </c>
      <c r="H41" s="9">
        <v>712.74609375</v>
      </c>
      <c r="I41">
        <v>552.2392578125</v>
      </c>
    </row>
    <row r="42" spans="1:9" x14ac:dyDescent="0.3">
      <c r="A42" s="9">
        <v>528.60929220000003</v>
      </c>
      <c r="B42" s="9">
        <v>1052.4823984608299</v>
      </c>
      <c r="C42">
        <f>($A$42-B42)^2</f>
        <v>274443.03146337077</v>
      </c>
      <c r="D42">
        <v>1056.89433967281</v>
      </c>
      <c r="E42">
        <v>1071.61986885388</v>
      </c>
      <c r="F42" s="9">
        <v>1046.91441827786</v>
      </c>
      <c r="G42">
        <f t="shared" si="0"/>
        <v>294860.48635797924</v>
      </c>
      <c r="H42" s="9">
        <v>674.232421875</v>
      </c>
      <c r="I42">
        <v>598.49755859375</v>
      </c>
    </row>
    <row r="43" spans="1:9" x14ac:dyDescent="0.3">
      <c r="A43" s="9">
        <v>424.48928009999997</v>
      </c>
      <c r="B43" s="9">
        <v>339.354775520884</v>
      </c>
      <c r="C43">
        <f>($A$43-B43)^2</f>
        <v>7247.8838699315183</v>
      </c>
      <c r="D43">
        <v>854.83468178123803</v>
      </c>
      <c r="E43">
        <v>874.23847521902997</v>
      </c>
      <c r="F43" s="9">
        <v>319.04511147981799</v>
      </c>
      <c r="G43">
        <f t="shared" si="0"/>
        <v>202274.33851021531</v>
      </c>
      <c r="H43" s="9">
        <v>591.216796875</v>
      </c>
      <c r="I43">
        <v>685.7177734375</v>
      </c>
    </row>
    <row r="44" spans="1:9" x14ac:dyDescent="0.3">
      <c r="A44" s="9">
        <v>26.430464610000001</v>
      </c>
      <c r="B44" s="9">
        <v>737.58234075596602</v>
      </c>
      <c r="C44">
        <f>($A$44-B44)^2</f>
        <v>505736.99094592745</v>
      </c>
      <c r="D44">
        <v>730.208262634314</v>
      </c>
      <c r="E44">
        <v>755.04507444947399</v>
      </c>
      <c r="F44" s="9">
        <v>755.44728370190796</v>
      </c>
      <c r="G44">
        <f t="shared" si="0"/>
        <v>530879.24967152893</v>
      </c>
      <c r="H44" s="9">
        <v>511.9580078125</v>
      </c>
      <c r="I44">
        <v>399.0390625</v>
      </c>
    </row>
    <row r="45" spans="1:9" x14ac:dyDescent="0.3">
      <c r="A45" s="9">
        <v>961.10780399999999</v>
      </c>
      <c r="B45" s="9">
        <v>890.11725530909803</v>
      </c>
      <c r="C45">
        <f>($A$45-B45)^2</f>
        <v>5039.6580034353219</v>
      </c>
      <c r="D45">
        <v>911.01775412295694</v>
      </c>
      <c r="E45">
        <v>921.78093749681796</v>
      </c>
      <c r="F45" s="9">
        <v>828.38028024272705</v>
      </c>
      <c r="G45">
        <f t="shared" si="0"/>
        <v>1546.602428959101</v>
      </c>
      <c r="H45" s="9">
        <v>695.1240234375</v>
      </c>
      <c r="I45">
        <v>650.71142578125</v>
      </c>
    </row>
    <row r="46" spans="1:9" x14ac:dyDescent="0.3">
      <c r="A46" s="9">
        <v>480.55390199999903</v>
      </c>
      <c r="B46" s="9">
        <v>689.18841814342898</v>
      </c>
      <c r="C46">
        <f>($A$46-B46)^2</f>
        <v>43528.36132640313</v>
      </c>
      <c r="D46">
        <v>654.70987755665999</v>
      </c>
      <c r="E46">
        <v>670.19588217436103</v>
      </c>
      <c r="F46" s="9">
        <v>710.32076305672399</v>
      </c>
      <c r="G46">
        <f t="shared" si="0"/>
        <v>35964.080644453112</v>
      </c>
      <c r="H46" s="9">
        <v>603.158203125</v>
      </c>
      <c r="I46">
        <v>509.94873046875</v>
      </c>
    </row>
    <row r="47" spans="1:9" x14ac:dyDescent="0.3">
      <c r="A47" s="9">
        <v>1601.8463400000001</v>
      </c>
      <c r="B47" s="9">
        <v>1071.3885924748199</v>
      </c>
      <c r="C47">
        <f>($A$47-B47)^2</f>
        <v>281385.42190948775</v>
      </c>
      <c r="D47">
        <v>1048.6804720396501</v>
      </c>
      <c r="E47">
        <v>1056.00703538946</v>
      </c>
      <c r="F47" s="9">
        <v>1031.6785966191801</v>
      </c>
      <c r="G47">
        <f t="shared" si="0"/>
        <v>297940.54645771789</v>
      </c>
      <c r="H47" s="9">
        <v>754.4296875</v>
      </c>
      <c r="I47">
        <v>679.927734375</v>
      </c>
    </row>
    <row r="48" spans="1:9" x14ac:dyDescent="0.3">
      <c r="A48" s="9">
        <v>1922.215608</v>
      </c>
      <c r="B48" s="9">
        <v>1969.42730991087</v>
      </c>
      <c r="C48">
        <f>($A$48-B48)^2</f>
        <v>2228.9447973208494</v>
      </c>
      <c r="D48">
        <v>1977.33266780552</v>
      </c>
      <c r="E48">
        <v>1898.42709409296</v>
      </c>
      <c r="F48" s="9">
        <v>1887.23135711278</v>
      </c>
      <c r="G48">
        <f t="shared" si="0"/>
        <v>565.89339390543273</v>
      </c>
      <c r="H48" s="9">
        <v>1848.7900390625</v>
      </c>
      <c r="I48">
        <v>1846.8828125</v>
      </c>
    </row>
    <row r="49" spans="1:9" x14ac:dyDescent="0.3">
      <c r="A49" s="9">
        <v>2306.6587295999998</v>
      </c>
      <c r="B49" s="9">
        <v>1500.2653067815299</v>
      </c>
      <c r="C49">
        <f>($A$49-B49)^2</f>
        <v>650270.35236488748</v>
      </c>
      <c r="D49">
        <v>1501.6353907545599</v>
      </c>
      <c r="E49">
        <v>1465.31626054398</v>
      </c>
      <c r="F49" s="9">
        <v>1455.3449753438499</v>
      </c>
      <c r="G49">
        <f t="shared" si="0"/>
        <v>707857.15023727959</v>
      </c>
      <c r="H49" s="9">
        <v>1305.6708984375</v>
      </c>
      <c r="I49">
        <v>1262.4482421875</v>
      </c>
    </row>
    <row r="50" spans="1:9" x14ac:dyDescent="0.3">
      <c r="A50" s="9">
        <v>32.036926800000003</v>
      </c>
      <c r="B50" s="9">
        <v>712.941222872597</v>
      </c>
      <c r="C50">
        <f>($A$50-B50)^2</f>
        <v>463630.66041011875</v>
      </c>
      <c r="D50">
        <v>680.96758841399901</v>
      </c>
      <c r="E50">
        <v>702.86858818188898</v>
      </c>
      <c r="F50" s="9">
        <v>715.70249841750501</v>
      </c>
      <c r="G50">
        <f t="shared" si="0"/>
        <v>450015.11791238544</v>
      </c>
      <c r="H50" s="9">
        <v>536.6083984375</v>
      </c>
      <c r="I50">
        <v>414.32666015625</v>
      </c>
    </row>
    <row r="51" spans="1:9" x14ac:dyDescent="0.3">
      <c r="A51" s="9">
        <v>424.48928009999997</v>
      </c>
      <c r="B51" s="9">
        <v>339.354775520884</v>
      </c>
      <c r="C51">
        <f>($A$51-B51)^2</f>
        <v>7247.8838699315183</v>
      </c>
      <c r="D51">
        <v>854.83468178123803</v>
      </c>
      <c r="E51">
        <v>874.23847521902997</v>
      </c>
      <c r="F51" s="9">
        <v>319.04511147981799</v>
      </c>
      <c r="G51">
        <f t="shared" si="0"/>
        <v>202274.33851021531</v>
      </c>
      <c r="H51" s="9">
        <v>591.216796875</v>
      </c>
      <c r="I51">
        <v>685.7177734375</v>
      </c>
    </row>
    <row r="52" spans="1:9" x14ac:dyDescent="0.3">
      <c r="A52" s="9">
        <v>424.48928009999997</v>
      </c>
      <c r="B52" s="9">
        <v>339.354775520884</v>
      </c>
      <c r="C52">
        <f>($A$52-B52)^2</f>
        <v>7247.8838699315183</v>
      </c>
      <c r="D52">
        <v>854.83468178123803</v>
      </c>
      <c r="E52">
        <v>874.23847521902997</v>
      </c>
      <c r="F52" s="9">
        <v>319.04511147981799</v>
      </c>
      <c r="G52">
        <f t="shared" si="0"/>
        <v>202274.33851021531</v>
      </c>
      <c r="H52" s="9">
        <v>591.216796875</v>
      </c>
      <c r="I52">
        <v>685.7177734375</v>
      </c>
    </row>
    <row r="53" spans="1:9" x14ac:dyDescent="0.3">
      <c r="A53" s="9">
        <v>60.069237749999999</v>
      </c>
      <c r="B53" s="9">
        <v>572.49304555349204</v>
      </c>
      <c r="C53">
        <f>($A$53-B53)^2</f>
        <v>262578.15880383021</v>
      </c>
      <c r="D53">
        <v>463.28202715901301</v>
      </c>
      <c r="E53">
        <v>469.82753010373199</v>
      </c>
      <c r="F53" s="9">
        <v>538.65614291992404</v>
      </c>
      <c r="G53">
        <f t="shared" si="0"/>
        <v>167901.85815264648</v>
      </c>
      <c r="H53" s="9">
        <v>671.763671875</v>
      </c>
      <c r="I53">
        <v>508.10546875</v>
      </c>
    </row>
    <row r="54" spans="1:9" x14ac:dyDescent="0.3">
      <c r="A54" s="9">
        <v>320.36926799999998</v>
      </c>
      <c r="B54" s="9">
        <v>384.87723837013601</v>
      </c>
      <c r="C54">
        <f>($A$54-B54)^2</f>
        <v>4161.2782412743491</v>
      </c>
      <c r="D54">
        <v>502.33603441893399</v>
      </c>
      <c r="E54">
        <v>503.03777250741501</v>
      </c>
      <c r="F54" s="9">
        <v>546.68336066854397</v>
      </c>
      <c r="G54">
        <f t="shared" si="0"/>
        <v>33367.782538975509</v>
      </c>
      <c r="H54" s="9">
        <v>742.201171875</v>
      </c>
      <c r="I54">
        <v>596.90234375</v>
      </c>
    </row>
    <row r="55" spans="1:9" x14ac:dyDescent="0.3">
      <c r="A55" s="9">
        <v>1121.2924379999999</v>
      </c>
      <c r="B55" s="9">
        <v>641.46865579334201</v>
      </c>
      <c r="C55">
        <f>($A$55-B55)^2</f>
        <v>230230.86197110231</v>
      </c>
      <c r="D55">
        <v>551.48056200502299</v>
      </c>
      <c r="E55">
        <v>540.90057945979402</v>
      </c>
      <c r="F55" s="9">
        <v>623.66733477304899</v>
      </c>
      <c r="G55">
        <f t="shared" si="0"/>
        <v>336854.70945975441</v>
      </c>
      <c r="H55" s="9">
        <v>874.091796875</v>
      </c>
      <c r="I55">
        <v>754.66796875</v>
      </c>
    </row>
    <row r="56" spans="1:9" x14ac:dyDescent="0.3">
      <c r="A56" s="9">
        <v>22.425848760000001</v>
      </c>
      <c r="B56" s="9">
        <v>705.89666379996402</v>
      </c>
      <c r="C56">
        <f>($A$56-B56)^2</f>
        <v>467132.35501139268</v>
      </c>
      <c r="D56">
        <v>665.89423008512699</v>
      </c>
      <c r="E56">
        <v>686.76104648372802</v>
      </c>
      <c r="F56" s="9">
        <v>709.69845413519499</v>
      </c>
      <c r="G56">
        <f t="shared" si="0"/>
        <v>441341.25493462477</v>
      </c>
      <c r="H56" s="9">
        <v>545.6455078125</v>
      </c>
      <c r="I56">
        <v>416.93408203125</v>
      </c>
    </row>
    <row r="57" spans="1:9" x14ac:dyDescent="0.3">
      <c r="A57" s="9">
        <v>1121.2924379999999</v>
      </c>
      <c r="B57" s="9">
        <v>641.46865579334201</v>
      </c>
      <c r="C57">
        <f>($A$57-B57)^2</f>
        <v>230230.86197110231</v>
      </c>
      <c r="D57">
        <v>551.48056200502299</v>
      </c>
      <c r="E57">
        <v>540.90057945979402</v>
      </c>
      <c r="F57" s="9">
        <v>623.66733477304899</v>
      </c>
      <c r="G57">
        <f t="shared" si="0"/>
        <v>336854.70945975441</v>
      </c>
      <c r="H57" s="9">
        <v>874.091796875</v>
      </c>
      <c r="I57">
        <v>754.66796875</v>
      </c>
    </row>
    <row r="58" spans="1:9" x14ac:dyDescent="0.3">
      <c r="A58" s="9">
        <v>28.032310949999999</v>
      </c>
      <c r="B58" s="9">
        <v>705.89666379996402</v>
      </c>
      <c r="C58">
        <f>($A$58-B58)^2</f>
        <v>459500.08086470049</v>
      </c>
      <c r="D58">
        <v>665.89423008512699</v>
      </c>
      <c r="E58">
        <v>686.76104648372802</v>
      </c>
      <c r="F58" s="9">
        <v>709.69845413519499</v>
      </c>
      <c r="G58">
        <f t="shared" si="0"/>
        <v>433923.54701786418</v>
      </c>
      <c r="H58" s="9">
        <v>545.6455078125</v>
      </c>
      <c r="I58">
        <v>416.93408203125</v>
      </c>
    </row>
    <row r="59" spans="1:9" x14ac:dyDescent="0.3">
      <c r="A59" s="9">
        <v>1954.2525347999999</v>
      </c>
      <c r="B59" s="9">
        <v>1829.9471165274299</v>
      </c>
      <c r="C59">
        <f>($A$59-B59)^2</f>
        <v>15451.837011918586</v>
      </c>
      <c r="D59">
        <v>1835.1611239823901</v>
      </c>
      <c r="E59">
        <v>1770.4761116084601</v>
      </c>
      <c r="F59" s="9">
        <v>1760.68308365855</v>
      </c>
      <c r="G59">
        <f t="shared" si="0"/>
        <v>33773.773721075937</v>
      </c>
      <c r="H59" s="9">
        <v>1670.0322265625</v>
      </c>
      <c r="I59">
        <v>1654.7880859375</v>
      </c>
    </row>
    <row r="60" spans="1:9" x14ac:dyDescent="0.3">
      <c r="A60" s="9">
        <v>448.51697519999999</v>
      </c>
      <c r="B60" s="9">
        <v>295.23169902976701</v>
      </c>
      <c r="C60">
        <f>($A$60-B60)^2</f>
        <v>23496.375890584593</v>
      </c>
      <c r="D60">
        <v>154.70533554654</v>
      </c>
      <c r="E60">
        <v>133.68656568036701</v>
      </c>
      <c r="F60" s="9">
        <v>253.040879588574</v>
      </c>
      <c r="G60">
        <f t="shared" si="0"/>
        <v>99118.186758299824</v>
      </c>
      <c r="H60" s="9">
        <v>927.185546875</v>
      </c>
      <c r="I60">
        <v>721.671875</v>
      </c>
    </row>
    <row r="61" spans="1:9" x14ac:dyDescent="0.3">
      <c r="A61" s="9">
        <v>1281.4770719999999</v>
      </c>
      <c r="B61" s="9">
        <v>1103.11194282971</v>
      </c>
      <c r="C61">
        <f>($A$61-B61)^2</f>
        <v>31814.119303934218</v>
      </c>
      <c r="D61">
        <v>1063.8599703928101</v>
      </c>
      <c r="E61">
        <v>1071.9969516450001</v>
      </c>
      <c r="F61" s="9">
        <v>1044.4656490469699</v>
      </c>
      <c r="G61">
        <f t="shared" si="0"/>
        <v>43881.920823945213</v>
      </c>
      <c r="H61" s="9">
        <v>747.875</v>
      </c>
      <c r="I61">
        <v>675.92431640625</v>
      </c>
    </row>
    <row r="62" spans="1:9" x14ac:dyDescent="0.3">
      <c r="A62" s="9">
        <v>1601.8463400000001</v>
      </c>
      <c r="B62" s="9">
        <v>1149.7865755206401</v>
      </c>
      <c r="C62">
        <f>($A$62-B62)^2</f>
        <v>204358.0306611344</v>
      </c>
      <c r="D62">
        <v>1130.0377996790601</v>
      </c>
      <c r="E62">
        <v>1126.0708040812001</v>
      </c>
      <c r="F62" s="9">
        <v>1116.3704754985699</v>
      </c>
      <c r="G62">
        <f t="shared" si="0"/>
        <v>226362.3605788213</v>
      </c>
      <c r="H62" s="9">
        <v>891.478515625</v>
      </c>
      <c r="I62">
        <v>816.6201171875</v>
      </c>
    </row>
    <row r="63" spans="1:9" x14ac:dyDescent="0.3">
      <c r="A63" s="9">
        <v>17.62030974</v>
      </c>
      <c r="B63" s="9">
        <v>730.81979167704299</v>
      </c>
      <c r="C63">
        <f>($A$63-B63)^2</f>
        <v>508653.50103526644</v>
      </c>
      <c r="D63">
        <v>713.53713693934503</v>
      </c>
      <c r="E63">
        <v>737.29915679799899</v>
      </c>
      <c r="F63" s="9">
        <v>742.16315823939601</v>
      </c>
      <c r="G63">
        <f t="shared" si="0"/>
        <v>517937.64290273067</v>
      </c>
      <c r="H63" s="9">
        <v>521.1923828125</v>
      </c>
      <c r="I63">
        <v>404.98291015625</v>
      </c>
    </row>
    <row r="64" spans="1:9" x14ac:dyDescent="0.3">
      <c r="A64" s="9">
        <v>424.48928009999997</v>
      </c>
      <c r="B64" s="9">
        <v>339.354775520884</v>
      </c>
      <c r="C64">
        <f>($A$64-B64)^2</f>
        <v>7247.8838699315183</v>
      </c>
      <c r="D64">
        <v>854.83468178123803</v>
      </c>
      <c r="E64">
        <v>874.23847521902997</v>
      </c>
      <c r="F64" s="9">
        <v>319.04511147981799</v>
      </c>
      <c r="G64">
        <f t="shared" si="0"/>
        <v>202274.33851021531</v>
      </c>
      <c r="H64" s="9">
        <v>591.216796875</v>
      </c>
      <c r="I64">
        <v>685.7177734375</v>
      </c>
    </row>
    <row r="65" spans="1:9" x14ac:dyDescent="0.3">
      <c r="A65" s="9">
        <v>320.36926799999998</v>
      </c>
      <c r="B65" s="9">
        <v>278.86856779946601</v>
      </c>
      <c r="C65">
        <f>($A$65-B65)^2</f>
        <v>1722.3081171346003</v>
      </c>
      <c r="D65">
        <v>142.20717483808201</v>
      </c>
      <c r="E65">
        <v>122.531860684354</v>
      </c>
      <c r="F65" s="9">
        <v>242.197702613231</v>
      </c>
      <c r="G65">
        <f t="shared" si="0"/>
        <v>39139.639733376811</v>
      </c>
      <c r="H65" s="9">
        <v>910.443359375</v>
      </c>
      <c r="I65">
        <v>704.8662109375</v>
      </c>
    </row>
    <row r="66" spans="1:9" x14ac:dyDescent="0.3">
      <c r="C66">
        <f>SUM(C2:C65)/64</f>
        <v>162589.91521600963</v>
      </c>
      <c r="G66">
        <f>SUM(G2:G65)/64</f>
        <v>199752.11771316966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Kaltenegger, Julia</cp:lastModifiedBy>
  <dcterms:created xsi:type="dcterms:W3CDTF">2024-08-06T12:35:07Z</dcterms:created>
  <dcterms:modified xsi:type="dcterms:W3CDTF">2024-08-29T09:04:21Z</dcterms:modified>
</cp:coreProperties>
</file>